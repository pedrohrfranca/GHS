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ab24b3b76d94b1/Desktop/Apresentação de Mídia/"/>
    </mc:Choice>
  </mc:AlternateContent>
  <xr:revisionPtr revIDLastSave="6" documentId="8_{125821F5-A5F2-4562-970B-E93F06AA5946}" xr6:coauthVersionLast="47" xr6:coauthVersionMax="47" xr10:uidLastSave="{C46E05E6-CCBC-48A2-A729-7D18927FACEF}"/>
  <bookViews>
    <workbookView xWindow="-98" yWindow="-98" windowWidth="21795" windowHeight="12975" xr2:uid="{33862748-6A9A-4C49-B295-0D4C4EDCD2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3" i="1" l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 s="1"/>
  <c r="E67" i="1"/>
  <c r="F67" i="1"/>
  <c r="G67" i="1"/>
  <c r="B68" i="1"/>
  <c r="C68" i="1"/>
  <c r="D68" i="1" s="1"/>
  <c r="E68" i="1"/>
  <c r="F68" i="1"/>
  <c r="G68" i="1"/>
  <c r="B69" i="1"/>
  <c r="D69" i="1" s="1"/>
  <c r="C69" i="1"/>
  <c r="E69" i="1"/>
  <c r="F69" i="1"/>
  <c r="G69" i="1"/>
  <c r="B55" i="1"/>
  <c r="C55" i="1"/>
  <c r="D55" i="1"/>
  <c r="E55" i="1"/>
  <c r="F55" i="1"/>
  <c r="G55" i="1"/>
  <c r="G58" i="1"/>
  <c r="G57" i="1"/>
  <c r="G56" i="1"/>
  <c r="G54" i="1"/>
  <c r="G53" i="1"/>
  <c r="B47" i="1"/>
  <c r="C47" i="1"/>
  <c r="D47" i="1"/>
  <c r="E47" i="1"/>
  <c r="F47" i="1"/>
  <c r="G47" i="1"/>
  <c r="G50" i="1"/>
  <c r="G49" i="1"/>
  <c r="G48" i="1"/>
  <c r="G46" i="1"/>
  <c r="G45" i="1"/>
  <c r="B39" i="1"/>
  <c r="C39" i="1"/>
  <c r="D39" i="1"/>
  <c r="E39" i="1"/>
  <c r="F39" i="1"/>
  <c r="G39" i="1"/>
  <c r="G42" i="1"/>
  <c r="G41" i="1"/>
  <c r="G40" i="1"/>
  <c r="G38" i="1"/>
  <c r="G37" i="1"/>
  <c r="B31" i="1"/>
  <c r="C31" i="1"/>
  <c r="D31" i="1"/>
  <c r="E31" i="1"/>
  <c r="F31" i="1"/>
  <c r="G31" i="1"/>
  <c r="G34" i="1"/>
  <c r="G33" i="1"/>
  <c r="G32" i="1"/>
  <c r="G30" i="1"/>
  <c r="G29" i="1"/>
  <c r="B23" i="1"/>
  <c r="C23" i="1"/>
  <c r="D23" i="1"/>
  <c r="E23" i="1"/>
  <c r="F23" i="1"/>
  <c r="G23" i="1"/>
  <c r="G26" i="1"/>
  <c r="G25" i="1"/>
  <c r="G24" i="1"/>
  <c r="G22" i="1"/>
  <c r="G21" i="1"/>
  <c r="B15" i="1"/>
  <c r="C15" i="1"/>
  <c r="D15" i="1"/>
  <c r="E15" i="1"/>
  <c r="F15" i="1"/>
  <c r="G18" i="1"/>
  <c r="G64" i="1" s="1"/>
  <c r="G17" i="1"/>
  <c r="F64" i="1" s="1"/>
  <c r="G16" i="1"/>
  <c r="E64" i="1" s="1"/>
  <c r="G14" i="1"/>
  <c r="C64" i="1" s="1"/>
  <c r="G13" i="1"/>
  <c r="B7" i="1"/>
  <c r="C7" i="1"/>
  <c r="D7" i="1"/>
  <c r="E7" i="1"/>
  <c r="F7" i="1"/>
  <c r="G10" i="1"/>
  <c r="G9" i="1"/>
  <c r="F63" i="1" s="1"/>
  <c r="G8" i="1"/>
  <c r="E63" i="1" s="1"/>
  <c r="G6" i="1"/>
  <c r="C63" i="1" s="1"/>
  <c r="G5" i="1"/>
  <c r="G15" i="1" l="1"/>
  <c r="G70" i="1"/>
  <c r="F70" i="1"/>
  <c r="E70" i="1"/>
  <c r="C70" i="1"/>
  <c r="B64" i="1"/>
  <c r="D64" i="1" s="1"/>
  <c r="G7" i="1"/>
  <c r="B63" i="1"/>
  <c r="D63" i="1" l="1"/>
  <c r="B70" i="1"/>
  <c r="D70" i="1" s="1"/>
</calcChain>
</file>

<file path=xl/sharedStrings.xml><?xml version="1.0" encoding="utf-8"?>
<sst xmlns="http://schemas.openxmlformats.org/spreadsheetml/2006/main" count="109" uniqueCount="25">
  <si>
    <t>Resultados Semanais por Mês — 2026</t>
  </si>
  <si>
    <t>Preencha apenas as células azuis (S1 a S5). CPL e Totais são calculados.</t>
  </si>
  <si>
    <t>Junho</t>
  </si>
  <si>
    <t>S1</t>
  </si>
  <si>
    <t>S2</t>
  </si>
  <si>
    <t>S3</t>
  </si>
  <si>
    <t>S4</t>
  </si>
  <si>
    <t>S5</t>
  </si>
  <si>
    <t>Total</t>
  </si>
  <si>
    <t>Leads</t>
  </si>
  <si>
    <t>Investimento</t>
  </si>
  <si>
    <t>CPL</t>
  </si>
  <si>
    <t>Agendamentos</t>
  </si>
  <si>
    <t>Reuniões realizadas</t>
  </si>
  <si>
    <t>Contratos</t>
  </si>
  <si>
    <t>Julho</t>
  </si>
  <si>
    <t>Agosto</t>
  </si>
  <si>
    <t>Setembro</t>
  </si>
  <si>
    <t>Outubro</t>
  </si>
  <si>
    <t>Novembro</t>
  </si>
  <si>
    <t>Dezembro</t>
  </si>
  <si>
    <t>Resumo Mensal</t>
  </si>
  <si>
    <t>Mês</t>
  </si>
  <si>
    <t>2 dias</t>
  </si>
  <si>
    <t>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</si>
</sst>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\R&quot;R$&quot;\ #,##0.00;\(\R&quot;R$&quot;\ #,##0.00\);&quot;-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164" fontId="5" fillId="0" borderId="1" xfId="0" applyNumberFormat="1" applyFont="1" applyBorder="1"/>
    <xf numFmtId="164" fontId="1" fillId="3" borderId="1" xfId="0" applyNumberFormat="1" applyFont="1" applyFill="1" applyBorder="1"/>
    <xf numFmtId="165" fontId="5" fillId="0" borderId="1" xfId="0" applyNumberFormat="1" applyFont="1" applyBorder="1"/>
    <xf numFmtId="165" fontId="1" fillId="3" borderId="1" xfId="0" applyNumberFormat="1" applyFont="1" applyFill="1" applyBorder="1"/>
    <xf numFmtId="165" fontId="0" fillId="0" borderId="1" xfId="0" applyNumberFormat="1" applyBorder="1"/>
    <xf numFmtId="0" fontId="6" fillId="0" borderId="0" xfId="0" applyFont="1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164" fontId="5" fillId="0" borderId="1" xfId="0" applyNumberFormat="1" applyFont="1" applyFill="1" applyBorder="1"/>
    <xf numFmtId="165" fontId="5" fillId="0" borderId="1" xfId="0" applyNumberFormat="1" applyFont="1" applyFill="1" applyBorder="1"/>
    <xf numFmtId="165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8876A5-28D2-4A3A-A26C-88545E2A40C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2ed70a0-2141-45a3-998b-1d95ad4f2f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ACDB-5700-4E44-A312-23986DECC243}">
  <dimension ref="A1:G70"/>
  <sheetViews>
    <sheetView tabSelected="1" workbookViewId="0">
      <pane xSplit="1" topLeftCell="B1" activePane="topRight" state="frozen"/>
      <selection pane="topRight" activeCell="E18" sqref="E18"/>
    </sheetView>
  </sheetViews>
  <sheetFormatPr defaultRowHeight="14.25" x14ac:dyDescent="0.45"/>
  <cols>
    <col min="1" max="1" width="26.6640625" customWidth="1"/>
    <col min="2" max="7" width="16" customWidth="1"/>
  </cols>
  <sheetData>
    <row r="1" spans="1:7" ht="21" x14ac:dyDescent="0.65">
      <c r="A1" s="1" t="s">
        <v>0</v>
      </c>
    </row>
    <row r="2" spans="1:7" x14ac:dyDescent="0.45">
      <c r="A2" s="2" t="s">
        <v>1</v>
      </c>
    </row>
    <row r="4" spans="1:7" x14ac:dyDescent="0.4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23</v>
      </c>
      <c r="G4" s="4" t="s">
        <v>8</v>
      </c>
    </row>
    <row r="5" spans="1:7" x14ac:dyDescent="0.45">
      <c r="A5" s="5" t="s">
        <v>9</v>
      </c>
      <c r="B5" s="6">
        <v>177</v>
      </c>
      <c r="C5" s="6">
        <v>171</v>
      </c>
      <c r="D5" s="6">
        <v>130</v>
      </c>
      <c r="E5" s="6">
        <v>123</v>
      </c>
      <c r="F5" s="6">
        <v>41</v>
      </c>
      <c r="G5" s="7">
        <f>SUM(B5:F5)</f>
        <v>642</v>
      </c>
    </row>
    <row r="6" spans="1:7" x14ac:dyDescent="0.45">
      <c r="A6" s="5" t="s">
        <v>10</v>
      </c>
      <c r="B6" s="8">
        <v>7708</v>
      </c>
      <c r="C6" s="8">
        <v>6978</v>
      </c>
      <c r="D6" s="8">
        <v>6584</v>
      </c>
      <c r="E6" s="8">
        <v>6312</v>
      </c>
      <c r="F6" s="8">
        <v>1203</v>
      </c>
      <c r="G6" s="9">
        <f>SUM(B6:F6)</f>
        <v>28785</v>
      </c>
    </row>
    <row r="7" spans="1:7" x14ac:dyDescent="0.45">
      <c r="A7" s="5" t="s">
        <v>11</v>
      </c>
      <c r="B7" s="10">
        <f t="shared" ref="B7:G7" si="0">IFERROR(B6/B5,0)</f>
        <v>43.548022598870055</v>
      </c>
      <c r="C7" s="10">
        <f t="shared" si="0"/>
        <v>40.807017543859651</v>
      </c>
      <c r="D7" s="10">
        <f t="shared" si="0"/>
        <v>50.646153846153844</v>
      </c>
      <c r="E7" s="10">
        <f t="shared" si="0"/>
        <v>51.31707317073171</v>
      </c>
      <c r="F7" s="10">
        <f t="shared" si="0"/>
        <v>29.341463414634145</v>
      </c>
      <c r="G7" s="9">
        <f t="shared" si="0"/>
        <v>44.836448598130843</v>
      </c>
    </row>
    <row r="8" spans="1:7" x14ac:dyDescent="0.45">
      <c r="A8" s="5" t="s">
        <v>12</v>
      </c>
      <c r="B8" s="6">
        <v>18</v>
      </c>
      <c r="C8" s="6">
        <v>21</v>
      </c>
      <c r="D8" s="6">
        <v>23</v>
      </c>
      <c r="E8" s="6">
        <v>15</v>
      </c>
      <c r="F8" s="6">
        <v>6</v>
      </c>
      <c r="G8" s="7">
        <f>SUM(B8:F8)</f>
        <v>83</v>
      </c>
    </row>
    <row r="9" spans="1:7" x14ac:dyDescent="0.45">
      <c r="A9" s="5" t="s">
        <v>13</v>
      </c>
      <c r="B9" s="6">
        <v>17</v>
      </c>
      <c r="C9" s="6">
        <v>15</v>
      </c>
      <c r="D9" s="6">
        <v>13</v>
      </c>
      <c r="E9" s="6">
        <v>9</v>
      </c>
      <c r="F9" s="6">
        <v>6</v>
      </c>
      <c r="G9" s="7">
        <f>SUM(B9:F9)</f>
        <v>60</v>
      </c>
    </row>
    <row r="10" spans="1:7" x14ac:dyDescent="0.45">
      <c r="A10" s="5" t="s">
        <v>14</v>
      </c>
      <c r="B10" s="6">
        <v>1</v>
      </c>
      <c r="C10" s="6">
        <v>1</v>
      </c>
      <c r="D10" s="6">
        <v>0</v>
      </c>
      <c r="E10" s="6">
        <v>1</v>
      </c>
      <c r="F10" s="6">
        <v>2</v>
      </c>
      <c r="G10" s="7">
        <f>SUM(B10:F10)</f>
        <v>5</v>
      </c>
    </row>
    <row r="12" spans="1:7" x14ac:dyDescent="0.45">
      <c r="A12" s="3" t="s">
        <v>15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24</v>
      </c>
      <c r="G12" s="4" t="s">
        <v>8</v>
      </c>
    </row>
    <row r="13" spans="1:7" x14ac:dyDescent="0.45">
      <c r="A13" s="5" t="s">
        <v>9</v>
      </c>
      <c r="B13" s="6">
        <v>115</v>
      </c>
      <c r="C13" s="6">
        <v>173</v>
      </c>
      <c r="D13" s="6">
        <v>154</v>
      </c>
      <c r="E13" s="15">
        <v>167</v>
      </c>
      <c r="F13" s="6"/>
      <c r="G13" s="7">
        <f>SUM(B13:F13)</f>
        <v>609</v>
      </c>
    </row>
    <row r="14" spans="1:7" x14ac:dyDescent="0.45">
      <c r="A14" s="5" t="s">
        <v>10</v>
      </c>
      <c r="B14" s="8">
        <v>7063</v>
      </c>
      <c r="C14" s="8">
        <v>6959</v>
      </c>
      <c r="D14" s="8">
        <v>6914</v>
      </c>
      <c r="E14" s="16">
        <v>6788</v>
      </c>
      <c r="F14" s="8"/>
      <c r="G14" s="9">
        <f>SUM(B14:F14)</f>
        <v>27724</v>
      </c>
    </row>
    <row r="15" spans="1:7" x14ac:dyDescent="0.45">
      <c r="A15" s="5" t="s">
        <v>11</v>
      </c>
      <c r="B15" s="10">
        <f t="shared" ref="B15:G15" si="1">IFERROR(B14/B13,0)</f>
        <v>61.417391304347824</v>
      </c>
      <c r="C15" s="10">
        <f t="shared" si="1"/>
        <v>40.225433526011564</v>
      </c>
      <c r="D15" s="10">
        <f t="shared" si="1"/>
        <v>44.896103896103895</v>
      </c>
      <c r="E15" s="17">
        <f t="shared" si="1"/>
        <v>40.646706586826348</v>
      </c>
      <c r="F15" s="10">
        <f t="shared" si="1"/>
        <v>0</v>
      </c>
      <c r="G15" s="9">
        <f t="shared" si="1"/>
        <v>45.523809523809526</v>
      </c>
    </row>
    <row r="16" spans="1:7" x14ac:dyDescent="0.45">
      <c r="A16" s="5" t="s">
        <v>12</v>
      </c>
      <c r="B16" s="6">
        <v>12</v>
      </c>
      <c r="C16" s="6">
        <v>20</v>
      </c>
      <c r="D16" s="6">
        <v>24</v>
      </c>
      <c r="E16" s="15">
        <v>22</v>
      </c>
      <c r="F16" s="6"/>
      <c r="G16" s="7">
        <f>SUM(B16:F16)</f>
        <v>78</v>
      </c>
    </row>
    <row r="17" spans="1:7" x14ac:dyDescent="0.45">
      <c r="A17" s="5" t="s">
        <v>13</v>
      </c>
      <c r="B17" s="6">
        <v>10</v>
      </c>
      <c r="C17" s="6">
        <v>16</v>
      </c>
      <c r="D17" s="6">
        <v>14</v>
      </c>
      <c r="E17" s="15">
        <v>18</v>
      </c>
      <c r="F17" s="6"/>
      <c r="G17" s="7">
        <f>SUM(B17:F17)</f>
        <v>58</v>
      </c>
    </row>
    <row r="18" spans="1:7" x14ac:dyDescent="0.45">
      <c r="A18" s="5" t="s">
        <v>14</v>
      </c>
      <c r="B18" s="6">
        <v>0</v>
      </c>
      <c r="C18" s="6">
        <v>0</v>
      </c>
      <c r="D18" s="6">
        <v>2</v>
      </c>
      <c r="E18" s="15">
        <v>3</v>
      </c>
      <c r="F18" s="6"/>
      <c r="G18" s="7">
        <f>SUM(B18:F18)</f>
        <v>5</v>
      </c>
    </row>
    <row r="20" spans="1:7" x14ac:dyDescent="0.45">
      <c r="A20" s="3" t="s">
        <v>16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</row>
    <row r="21" spans="1:7" x14ac:dyDescent="0.45">
      <c r="A21" s="5" t="s">
        <v>9</v>
      </c>
      <c r="B21" s="6"/>
      <c r="C21" s="6"/>
      <c r="D21" s="6"/>
      <c r="E21" s="6"/>
      <c r="F21" s="6"/>
      <c r="G21" s="7">
        <f>SUM(B21:F21)</f>
        <v>0</v>
      </c>
    </row>
    <row r="22" spans="1:7" x14ac:dyDescent="0.45">
      <c r="A22" s="5" t="s">
        <v>10</v>
      </c>
      <c r="B22" s="8"/>
      <c r="C22" s="8"/>
      <c r="D22" s="8"/>
      <c r="E22" s="8"/>
      <c r="F22" s="8"/>
      <c r="G22" s="9">
        <f>SUM(B22:F22)</f>
        <v>0</v>
      </c>
    </row>
    <row r="23" spans="1:7" x14ac:dyDescent="0.45">
      <c r="A23" s="5" t="s">
        <v>11</v>
      </c>
      <c r="B23" s="10">
        <f t="shared" ref="B23:G23" si="2">IFERROR(B22/B21,0)</f>
        <v>0</v>
      </c>
      <c r="C23" s="10">
        <f t="shared" si="2"/>
        <v>0</v>
      </c>
      <c r="D23" s="10">
        <f t="shared" si="2"/>
        <v>0</v>
      </c>
      <c r="E23" s="10">
        <f t="shared" si="2"/>
        <v>0</v>
      </c>
      <c r="F23" s="10">
        <f t="shared" si="2"/>
        <v>0</v>
      </c>
      <c r="G23" s="9">
        <f t="shared" si="2"/>
        <v>0</v>
      </c>
    </row>
    <row r="24" spans="1:7" x14ac:dyDescent="0.45">
      <c r="A24" s="5" t="s">
        <v>12</v>
      </c>
      <c r="B24" s="6"/>
      <c r="C24" s="6"/>
      <c r="D24" s="6"/>
      <c r="E24" s="6"/>
      <c r="F24" s="6"/>
      <c r="G24" s="7">
        <f>SUM(B24:F24)</f>
        <v>0</v>
      </c>
    </row>
    <row r="25" spans="1:7" x14ac:dyDescent="0.45">
      <c r="A25" s="5" t="s">
        <v>13</v>
      </c>
      <c r="B25" s="6"/>
      <c r="C25" s="6"/>
      <c r="D25" s="6"/>
      <c r="E25" s="6"/>
      <c r="F25" s="6"/>
      <c r="G25" s="7">
        <f>SUM(B25:F25)</f>
        <v>0</v>
      </c>
    </row>
    <row r="26" spans="1:7" x14ac:dyDescent="0.45">
      <c r="A26" s="5" t="s">
        <v>14</v>
      </c>
      <c r="B26" s="6"/>
      <c r="C26" s="6"/>
      <c r="D26" s="6"/>
      <c r="E26" s="6"/>
      <c r="F26" s="6"/>
      <c r="G26" s="7">
        <f>SUM(B26:F26)</f>
        <v>0</v>
      </c>
    </row>
    <row r="28" spans="1:7" x14ac:dyDescent="0.45">
      <c r="A28" s="3" t="s">
        <v>17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</row>
    <row r="29" spans="1:7" x14ac:dyDescent="0.45">
      <c r="A29" s="5" t="s">
        <v>9</v>
      </c>
      <c r="B29" s="6"/>
      <c r="C29" s="6"/>
      <c r="D29" s="6"/>
      <c r="E29" s="6"/>
      <c r="F29" s="6"/>
      <c r="G29" s="7">
        <f>SUM(B29:F29)</f>
        <v>0</v>
      </c>
    </row>
    <row r="30" spans="1:7" x14ac:dyDescent="0.45">
      <c r="A30" s="5" t="s">
        <v>10</v>
      </c>
      <c r="B30" s="8"/>
      <c r="C30" s="8"/>
      <c r="D30" s="8"/>
      <c r="E30" s="8"/>
      <c r="F30" s="8"/>
      <c r="G30" s="9">
        <f>SUM(B30:F30)</f>
        <v>0</v>
      </c>
    </row>
    <row r="31" spans="1:7" x14ac:dyDescent="0.45">
      <c r="A31" s="5" t="s">
        <v>11</v>
      </c>
      <c r="B31" s="10">
        <f t="shared" ref="B31:G31" si="3">IFERROR(B30/B29,0)</f>
        <v>0</v>
      </c>
      <c r="C31" s="10">
        <f t="shared" si="3"/>
        <v>0</v>
      </c>
      <c r="D31" s="10">
        <f t="shared" si="3"/>
        <v>0</v>
      </c>
      <c r="E31" s="10">
        <f t="shared" si="3"/>
        <v>0</v>
      </c>
      <c r="F31" s="10">
        <f t="shared" si="3"/>
        <v>0</v>
      </c>
      <c r="G31" s="9">
        <f t="shared" si="3"/>
        <v>0</v>
      </c>
    </row>
    <row r="32" spans="1:7" x14ac:dyDescent="0.45">
      <c r="A32" s="5" t="s">
        <v>12</v>
      </c>
      <c r="B32" s="6"/>
      <c r="C32" s="6"/>
      <c r="D32" s="6"/>
      <c r="E32" s="6"/>
      <c r="F32" s="6"/>
      <c r="G32" s="7">
        <f>SUM(B32:F32)</f>
        <v>0</v>
      </c>
    </row>
    <row r="33" spans="1:7" x14ac:dyDescent="0.45">
      <c r="A33" s="5" t="s">
        <v>13</v>
      </c>
      <c r="B33" s="6"/>
      <c r="C33" s="6"/>
      <c r="D33" s="6"/>
      <c r="E33" s="6"/>
      <c r="F33" s="6"/>
      <c r="G33" s="7">
        <f>SUM(B33:F33)</f>
        <v>0</v>
      </c>
    </row>
    <row r="34" spans="1:7" x14ac:dyDescent="0.45">
      <c r="A34" s="5" t="s">
        <v>14</v>
      </c>
      <c r="B34" s="6"/>
      <c r="C34" s="6"/>
      <c r="D34" s="6"/>
      <c r="E34" s="6"/>
      <c r="F34" s="6"/>
      <c r="G34" s="7">
        <f>SUM(B34:F34)</f>
        <v>0</v>
      </c>
    </row>
    <row r="36" spans="1:7" x14ac:dyDescent="0.45">
      <c r="A36" s="3" t="s">
        <v>18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</row>
    <row r="37" spans="1:7" x14ac:dyDescent="0.45">
      <c r="A37" s="5" t="s">
        <v>9</v>
      </c>
      <c r="B37" s="6"/>
      <c r="C37" s="6"/>
      <c r="D37" s="6"/>
      <c r="E37" s="6"/>
      <c r="F37" s="6"/>
      <c r="G37" s="7">
        <f>SUM(B37:F37)</f>
        <v>0</v>
      </c>
    </row>
    <row r="38" spans="1:7" x14ac:dyDescent="0.45">
      <c r="A38" s="5" t="s">
        <v>10</v>
      </c>
      <c r="B38" s="8"/>
      <c r="C38" s="8"/>
      <c r="D38" s="8"/>
      <c r="E38" s="8"/>
      <c r="F38" s="8"/>
      <c r="G38" s="9">
        <f>SUM(B38:F38)</f>
        <v>0</v>
      </c>
    </row>
    <row r="39" spans="1:7" x14ac:dyDescent="0.45">
      <c r="A39" s="5" t="s">
        <v>11</v>
      </c>
      <c r="B39" s="10">
        <f t="shared" ref="B39:G39" si="4">IFERROR(B38/B37,0)</f>
        <v>0</v>
      </c>
      <c r="C39" s="10">
        <f t="shared" si="4"/>
        <v>0</v>
      </c>
      <c r="D39" s="10">
        <f t="shared" si="4"/>
        <v>0</v>
      </c>
      <c r="E39" s="10">
        <f t="shared" si="4"/>
        <v>0</v>
      </c>
      <c r="F39" s="10">
        <f t="shared" si="4"/>
        <v>0</v>
      </c>
      <c r="G39" s="9">
        <f t="shared" si="4"/>
        <v>0</v>
      </c>
    </row>
    <row r="40" spans="1:7" x14ac:dyDescent="0.45">
      <c r="A40" s="5" t="s">
        <v>12</v>
      </c>
      <c r="B40" s="6"/>
      <c r="C40" s="6"/>
      <c r="D40" s="6"/>
      <c r="E40" s="6"/>
      <c r="F40" s="6"/>
      <c r="G40" s="7">
        <f>SUM(B40:F40)</f>
        <v>0</v>
      </c>
    </row>
    <row r="41" spans="1:7" x14ac:dyDescent="0.45">
      <c r="A41" s="5" t="s">
        <v>13</v>
      </c>
      <c r="B41" s="6"/>
      <c r="C41" s="6"/>
      <c r="D41" s="6"/>
      <c r="E41" s="6"/>
      <c r="F41" s="6"/>
      <c r="G41" s="7">
        <f>SUM(B41:F41)</f>
        <v>0</v>
      </c>
    </row>
    <row r="42" spans="1:7" x14ac:dyDescent="0.45">
      <c r="A42" s="5" t="s">
        <v>14</v>
      </c>
      <c r="B42" s="6"/>
      <c r="C42" s="6"/>
      <c r="D42" s="6"/>
      <c r="E42" s="6"/>
      <c r="F42" s="6"/>
      <c r="G42" s="7">
        <f>SUM(B42:F42)</f>
        <v>0</v>
      </c>
    </row>
    <row r="44" spans="1:7" x14ac:dyDescent="0.45">
      <c r="A44" s="3" t="s">
        <v>19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</row>
    <row r="45" spans="1:7" x14ac:dyDescent="0.45">
      <c r="A45" s="5" t="s">
        <v>9</v>
      </c>
      <c r="B45" s="6"/>
      <c r="C45" s="6"/>
      <c r="D45" s="6"/>
      <c r="E45" s="6"/>
      <c r="F45" s="6"/>
      <c r="G45" s="7">
        <f>SUM(B45:F45)</f>
        <v>0</v>
      </c>
    </row>
    <row r="46" spans="1:7" x14ac:dyDescent="0.45">
      <c r="A46" s="5" t="s">
        <v>10</v>
      </c>
      <c r="B46" s="8"/>
      <c r="C46" s="8"/>
      <c r="D46" s="8"/>
      <c r="E46" s="8"/>
      <c r="F46" s="8"/>
      <c r="G46" s="9">
        <f>SUM(B46:F46)</f>
        <v>0</v>
      </c>
    </row>
    <row r="47" spans="1:7" x14ac:dyDescent="0.45">
      <c r="A47" s="5" t="s">
        <v>11</v>
      </c>
      <c r="B47" s="10">
        <f t="shared" ref="B47:G47" si="5">IFERROR(B46/B45,0)</f>
        <v>0</v>
      </c>
      <c r="C47" s="10">
        <f t="shared" si="5"/>
        <v>0</v>
      </c>
      <c r="D47" s="10">
        <f t="shared" si="5"/>
        <v>0</v>
      </c>
      <c r="E47" s="10">
        <f t="shared" si="5"/>
        <v>0</v>
      </c>
      <c r="F47" s="10">
        <f t="shared" si="5"/>
        <v>0</v>
      </c>
      <c r="G47" s="9">
        <f t="shared" si="5"/>
        <v>0</v>
      </c>
    </row>
    <row r="48" spans="1:7" x14ac:dyDescent="0.45">
      <c r="A48" s="5" t="s">
        <v>12</v>
      </c>
      <c r="B48" s="6"/>
      <c r="C48" s="6"/>
      <c r="D48" s="6"/>
      <c r="E48" s="6"/>
      <c r="F48" s="6"/>
      <c r="G48" s="7">
        <f>SUM(B48:F48)</f>
        <v>0</v>
      </c>
    </row>
    <row r="49" spans="1:7" x14ac:dyDescent="0.45">
      <c r="A49" s="5" t="s">
        <v>13</v>
      </c>
      <c r="B49" s="6"/>
      <c r="C49" s="6"/>
      <c r="D49" s="6"/>
      <c r="E49" s="6"/>
      <c r="F49" s="6"/>
      <c r="G49" s="7">
        <f>SUM(B49:F49)</f>
        <v>0</v>
      </c>
    </row>
    <row r="50" spans="1:7" x14ac:dyDescent="0.45">
      <c r="A50" s="5" t="s">
        <v>14</v>
      </c>
      <c r="B50" s="6"/>
      <c r="C50" s="6"/>
      <c r="D50" s="6"/>
      <c r="E50" s="6"/>
      <c r="F50" s="6"/>
      <c r="G50" s="7">
        <f>SUM(B50:F50)</f>
        <v>0</v>
      </c>
    </row>
    <row r="52" spans="1:7" x14ac:dyDescent="0.45">
      <c r="A52" s="3" t="s">
        <v>20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</row>
    <row r="53" spans="1:7" x14ac:dyDescent="0.45">
      <c r="A53" s="5" t="s">
        <v>9</v>
      </c>
      <c r="B53" s="6"/>
      <c r="C53" s="6"/>
      <c r="D53" s="6"/>
      <c r="E53" s="6"/>
      <c r="F53" s="6"/>
      <c r="G53" s="7">
        <f>SUM(B53:F53)</f>
        <v>0</v>
      </c>
    </row>
    <row r="54" spans="1:7" x14ac:dyDescent="0.45">
      <c r="A54" s="5" t="s">
        <v>10</v>
      </c>
      <c r="B54" s="8"/>
      <c r="C54" s="8"/>
      <c r="D54" s="8"/>
      <c r="E54" s="8"/>
      <c r="F54" s="8"/>
      <c r="G54" s="9">
        <f>SUM(B54:F54)</f>
        <v>0</v>
      </c>
    </row>
    <row r="55" spans="1:7" x14ac:dyDescent="0.45">
      <c r="A55" s="5" t="s">
        <v>11</v>
      </c>
      <c r="B55" s="10">
        <f t="shared" ref="B55:G55" si="6">IFERROR(B54/B53,0)</f>
        <v>0</v>
      </c>
      <c r="C55" s="10">
        <f t="shared" si="6"/>
        <v>0</v>
      </c>
      <c r="D55" s="10">
        <f t="shared" si="6"/>
        <v>0</v>
      </c>
      <c r="E55" s="10">
        <f t="shared" si="6"/>
        <v>0</v>
      </c>
      <c r="F55" s="10">
        <f t="shared" si="6"/>
        <v>0</v>
      </c>
      <c r="G55" s="9">
        <f t="shared" si="6"/>
        <v>0</v>
      </c>
    </row>
    <row r="56" spans="1:7" x14ac:dyDescent="0.45">
      <c r="A56" s="5" t="s">
        <v>12</v>
      </c>
      <c r="B56" s="6"/>
      <c r="C56" s="6"/>
      <c r="D56" s="6"/>
      <c r="E56" s="6"/>
      <c r="F56" s="6"/>
      <c r="G56" s="7">
        <f>SUM(B56:F56)</f>
        <v>0</v>
      </c>
    </row>
    <row r="57" spans="1:7" x14ac:dyDescent="0.45">
      <c r="A57" s="5" t="s">
        <v>13</v>
      </c>
      <c r="B57" s="6"/>
      <c r="C57" s="6"/>
      <c r="D57" s="6"/>
      <c r="E57" s="6"/>
      <c r="F57" s="6"/>
      <c r="G57" s="7">
        <f>SUM(B57:F57)</f>
        <v>0</v>
      </c>
    </row>
    <row r="58" spans="1:7" x14ac:dyDescent="0.45">
      <c r="A58" s="5" t="s">
        <v>14</v>
      </c>
      <c r="B58" s="6"/>
      <c r="C58" s="6"/>
      <c r="D58" s="6"/>
      <c r="E58" s="6"/>
      <c r="F58" s="6"/>
      <c r="G58" s="7">
        <f>SUM(B58:F58)</f>
        <v>0</v>
      </c>
    </row>
    <row r="61" spans="1:7" ht="17.25" x14ac:dyDescent="0.55000000000000004">
      <c r="A61" s="11" t="s">
        <v>21</v>
      </c>
    </row>
    <row r="62" spans="1:7" x14ac:dyDescent="0.45">
      <c r="A62" s="4" t="s">
        <v>22</v>
      </c>
      <c r="B62" s="4" t="s">
        <v>9</v>
      </c>
      <c r="C62" s="4" t="s">
        <v>10</v>
      </c>
      <c r="D62" s="4" t="s">
        <v>11</v>
      </c>
      <c r="E62" s="4" t="s">
        <v>12</v>
      </c>
      <c r="F62" s="4" t="s">
        <v>13</v>
      </c>
      <c r="G62" s="4" t="s">
        <v>14</v>
      </c>
    </row>
    <row r="63" spans="1:7" x14ac:dyDescent="0.45">
      <c r="A63" s="12" t="s">
        <v>2</v>
      </c>
      <c r="B63" s="13">
        <f>G5</f>
        <v>642</v>
      </c>
      <c r="C63" s="10">
        <f>G6</f>
        <v>28785</v>
      </c>
      <c r="D63" s="10">
        <f t="shared" ref="D63:D70" si="7">IFERROR(C63/B63,0)</f>
        <v>44.836448598130843</v>
      </c>
      <c r="E63" s="13">
        <f>G8</f>
        <v>83</v>
      </c>
      <c r="F63" s="13">
        <f>G9</f>
        <v>60</v>
      </c>
      <c r="G63" s="13">
        <f>G10</f>
        <v>5</v>
      </c>
    </row>
    <row r="64" spans="1:7" x14ac:dyDescent="0.45">
      <c r="A64" s="12" t="s">
        <v>15</v>
      </c>
      <c r="B64" s="13">
        <f>G13</f>
        <v>609</v>
      </c>
      <c r="C64" s="10">
        <f>G14</f>
        <v>27724</v>
      </c>
      <c r="D64" s="10">
        <f t="shared" si="7"/>
        <v>45.523809523809526</v>
      </c>
      <c r="E64" s="13">
        <f>G16</f>
        <v>78</v>
      </c>
      <c r="F64" s="13">
        <f>G17</f>
        <v>58</v>
      </c>
      <c r="G64" s="13">
        <f>G18</f>
        <v>5</v>
      </c>
    </row>
    <row r="65" spans="1:7" x14ac:dyDescent="0.45">
      <c r="A65" s="12" t="s">
        <v>16</v>
      </c>
      <c r="B65" s="13">
        <f>G21</f>
        <v>0</v>
      </c>
      <c r="C65" s="10">
        <f>G22</f>
        <v>0</v>
      </c>
      <c r="D65" s="10">
        <f t="shared" si="7"/>
        <v>0</v>
      </c>
      <c r="E65" s="13">
        <f>G24</f>
        <v>0</v>
      </c>
      <c r="F65" s="13">
        <f>G25</f>
        <v>0</v>
      </c>
      <c r="G65" s="13">
        <f>G26</f>
        <v>0</v>
      </c>
    </row>
    <row r="66" spans="1:7" x14ac:dyDescent="0.45">
      <c r="A66" s="12" t="s">
        <v>17</v>
      </c>
      <c r="B66" s="13">
        <f>G29</f>
        <v>0</v>
      </c>
      <c r="C66" s="10">
        <f>G30</f>
        <v>0</v>
      </c>
      <c r="D66" s="10">
        <f t="shared" si="7"/>
        <v>0</v>
      </c>
      <c r="E66" s="13">
        <f>G32</f>
        <v>0</v>
      </c>
      <c r="F66" s="13">
        <f>G33</f>
        <v>0</v>
      </c>
      <c r="G66" s="13">
        <f>G34</f>
        <v>0</v>
      </c>
    </row>
    <row r="67" spans="1:7" x14ac:dyDescent="0.45">
      <c r="A67" s="12" t="s">
        <v>18</v>
      </c>
      <c r="B67" s="13">
        <f>G37</f>
        <v>0</v>
      </c>
      <c r="C67" s="10">
        <f>G38</f>
        <v>0</v>
      </c>
      <c r="D67" s="10">
        <f t="shared" si="7"/>
        <v>0</v>
      </c>
      <c r="E67" s="13">
        <f>G40</f>
        <v>0</v>
      </c>
      <c r="F67" s="13">
        <f>G41</f>
        <v>0</v>
      </c>
      <c r="G67" s="13">
        <f>G42</f>
        <v>0</v>
      </c>
    </row>
    <row r="68" spans="1:7" x14ac:dyDescent="0.45">
      <c r="A68" s="12" t="s">
        <v>19</v>
      </c>
      <c r="B68" s="13">
        <f>G45</f>
        <v>0</v>
      </c>
      <c r="C68" s="10">
        <f>G46</f>
        <v>0</v>
      </c>
      <c r="D68" s="10">
        <f t="shared" si="7"/>
        <v>0</v>
      </c>
      <c r="E68" s="13">
        <f>G48</f>
        <v>0</v>
      </c>
      <c r="F68" s="13">
        <f>G49</f>
        <v>0</v>
      </c>
      <c r="G68" s="13">
        <f>G50</f>
        <v>0</v>
      </c>
    </row>
    <row r="69" spans="1:7" x14ac:dyDescent="0.45">
      <c r="A69" s="12" t="s">
        <v>20</v>
      </c>
      <c r="B69" s="13">
        <f>G53</f>
        <v>0</v>
      </c>
      <c r="C69" s="10">
        <f>G54</f>
        <v>0</v>
      </c>
      <c r="D69" s="10">
        <f t="shared" si="7"/>
        <v>0</v>
      </c>
      <c r="E69" s="13">
        <f>G56</f>
        <v>0</v>
      </c>
      <c r="F69" s="13">
        <f>G57</f>
        <v>0</v>
      </c>
      <c r="G69" s="13">
        <f>G58</f>
        <v>0</v>
      </c>
    </row>
    <row r="70" spans="1:7" x14ac:dyDescent="0.45">
      <c r="A70" s="14" t="s">
        <v>8</v>
      </c>
      <c r="B70" s="7">
        <f>SUM(B63:B69)</f>
        <v>1251</v>
      </c>
      <c r="C70" s="9">
        <f>SUM(C63:C69)</f>
        <v>56509</v>
      </c>
      <c r="D70" s="9">
        <f t="shared" si="7"/>
        <v>45.171063149480418</v>
      </c>
      <c r="E70" s="7">
        <f>SUM(E63:E69)</f>
        <v>161</v>
      </c>
      <c r="F70" s="7">
        <f>SUM(F63:F69)</f>
        <v>118</v>
      </c>
      <c r="G70" s="7">
        <f>SUM(G63:G69)</f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frança</dc:creator>
  <cp:lastModifiedBy>Pedro frança</cp:lastModifiedBy>
  <dcterms:created xsi:type="dcterms:W3CDTF">2026-07-27T13:17:46Z</dcterms:created>
  <dcterms:modified xsi:type="dcterms:W3CDTF">2026-07-29T18:14:06Z</dcterms:modified>
</cp:coreProperties>
</file>