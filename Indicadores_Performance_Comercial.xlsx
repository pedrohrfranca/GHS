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7ab24b3b76d94b1/Desktop/Apresentação de Mídia/"/>
    </mc:Choice>
  </mc:AlternateContent>
  <xr:revisionPtr revIDLastSave="50" documentId="11_73CBF7718050DB9A570585A2C493DFA2F5AB32E3" xr6:coauthVersionLast="47" xr6:coauthVersionMax="47" xr10:uidLastSave="{DB94AB9D-8C2E-4685-B509-BB751E079A3A}"/>
  <bookViews>
    <workbookView xWindow="-98" yWindow="-98" windowWidth="21795" windowHeight="12975" tabRatio="500" activeTab="1" xr2:uid="{00000000-000D-0000-FFFF-FFFF00000000}"/>
  </bookViews>
  <sheets>
    <sheet name="Dados" sheetId="1" r:id="rId1"/>
    <sheet name="Indicadores" sheetId="2" r:id="rId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2" l="1"/>
  <c r="H6" i="2"/>
  <c r="H5" i="2"/>
  <c r="H14" i="2"/>
  <c r="H13" i="2"/>
  <c r="H12" i="2"/>
  <c r="H21" i="2"/>
  <c r="H20" i="2"/>
  <c r="H19" i="2"/>
  <c r="H27" i="2"/>
  <c r="H28" i="2" s="1"/>
  <c r="H29" i="2" s="1"/>
  <c r="H15" i="1" l="1"/>
  <c r="I15" i="1"/>
  <c r="J15" i="1"/>
  <c r="K15" i="1"/>
  <c r="L15" i="1"/>
  <c r="M15" i="1"/>
  <c r="H22" i="1"/>
  <c r="I22" i="1"/>
  <c r="J22" i="1"/>
  <c r="K22" i="1"/>
  <c r="L22" i="1"/>
  <c r="M22" i="1"/>
  <c r="H8" i="1"/>
  <c r="I8" i="1"/>
  <c r="J8" i="1"/>
  <c r="K8" i="1"/>
  <c r="L8" i="1"/>
  <c r="M8" i="1"/>
  <c r="I21" i="2"/>
  <c r="G21" i="2"/>
  <c r="F21" i="2"/>
  <c r="E21" i="2"/>
  <c r="D21" i="2"/>
  <c r="C21" i="2"/>
  <c r="B21" i="2"/>
  <c r="I20" i="2"/>
  <c r="G20" i="2"/>
  <c r="F20" i="2"/>
  <c r="E20" i="2"/>
  <c r="D20" i="2"/>
  <c r="C20" i="2"/>
  <c r="B20" i="2"/>
  <c r="I19" i="2"/>
  <c r="G19" i="2"/>
  <c r="F19" i="2"/>
  <c r="E19" i="2"/>
  <c r="D19" i="2"/>
  <c r="C19" i="2"/>
  <c r="B19" i="2"/>
  <c r="I14" i="2"/>
  <c r="G14" i="2"/>
  <c r="F14" i="2"/>
  <c r="E14" i="2"/>
  <c r="D14" i="2"/>
  <c r="C14" i="2"/>
  <c r="B14" i="2"/>
  <c r="I13" i="2"/>
  <c r="G13" i="2"/>
  <c r="F13" i="2"/>
  <c r="E13" i="2"/>
  <c r="D13" i="2"/>
  <c r="C13" i="2"/>
  <c r="B13" i="2"/>
  <c r="I12" i="2"/>
  <c r="G12" i="2"/>
  <c r="F12" i="2"/>
  <c r="E12" i="2"/>
  <c r="D12" i="2"/>
  <c r="C12" i="2"/>
  <c r="B12" i="2"/>
  <c r="I7" i="2"/>
  <c r="G7" i="2"/>
  <c r="F7" i="2"/>
  <c r="E7" i="2"/>
  <c r="D7" i="2"/>
  <c r="C7" i="2"/>
  <c r="B7" i="2"/>
  <c r="I6" i="2"/>
  <c r="G6" i="2"/>
  <c r="F6" i="2"/>
  <c r="E6" i="2"/>
  <c r="D6" i="2"/>
  <c r="C6" i="2"/>
  <c r="B6" i="2"/>
  <c r="I5" i="2"/>
  <c r="G5" i="2"/>
  <c r="F5" i="2"/>
  <c r="E5" i="2"/>
  <c r="D5" i="2"/>
  <c r="C5" i="2"/>
  <c r="B5" i="2"/>
  <c r="G22" i="1"/>
  <c r="G15" i="2" s="1"/>
  <c r="F22" i="1"/>
  <c r="F15" i="2" s="1"/>
  <c r="E22" i="1"/>
  <c r="E15" i="2" s="1"/>
  <c r="D22" i="1"/>
  <c r="D15" i="2" s="1"/>
  <c r="C22" i="1"/>
  <c r="C15" i="2" s="1"/>
  <c r="B22" i="1"/>
  <c r="B22" i="2" s="1"/>
  <c r="B27" i="2" s="1"/>
  <c r="G15" i="1"/>
  <c r="G8" i="2" s="1"/>
  <c r="F15" i="1"/>
  <c r="F8" i="2" s="1"/>
  <c r="E15" i="1"/>
  <c r="E8" i="2" s="1"/>
  <c r="D15" i="1"/>
  <c r="D8" i="2" s="1"/>
  <c r="C15" i="1"/>
  <c r="C8" i="2" s="1"/>
  <c r="B15" i="1"/>
  <c r="I8" i="2" s="1"/>
  <c r="G8" i="1"/>
  <c r="F8" i="1"/>
  <c r="E8" i="1"/>
  <c r="D8" i="1"/>
  <c r="C8" i="1"/>
  <c r="B8" i="1"/>
  <c r="C22" i="2" l="1"/>
  <c r="C27" i="2" s="1"/>
  <c r="C28" i="2" s="1"/>
  <c r="C29" i="2" s="1"/>
  <c r="D22" i="2"/>
  <c r="D27" i="2" s="1"/>
  <c r="D28" i="2" s="1"/>
  <c r="D29" i="2" s="1"/>
  <c r="E22" i="2"/>
  <c r="E27" i="2" s="1"/>
  <c r="F22" i="2"/>
  <c r="F27" i="2" s="1"/>
  <c r="G22" i="2"/>
  <c r="G27" i="2" s="1"/>
  <c r="I22" i="2"/>
  <c r="B8" i="2"/>
  <c r="B15" i="2"/>
  <c r="I15" i="2"/>
  <c r="G28" i="2" l="1"/>
  <c r="G29" i="2" s="1"/>
  <c r="E28" i="2"/>
  <c r="E29" i="2" s="1"/>
  <c r="F28" i="2"/>
  <c r="F29" i="2" s="1"/>
</calcChain>
</file>

<file path=xl/sharedStrings.xml><?xml version="1.0" encoding="utf-8"?>
<sst xmlns="http://schemas.openxmlformats.org/spreadsheetml/2006/main" count="111" uniqueCount="33">
  <si>
    <t>Dados brutos — Agendamento, Reunião e Contrato fechado</t>
  </si>
  <si>
    <t>Agendamentos</t>
  </si>
  <si>
    <t>Executivo</t>
  </si>
  <si>
    <t>Jan</t>
  </si>
  <si>
    <t>Fev</t>
  </si>
  <si>
    <t>Mar</t>
  </si>
  <si>
    <t>Abr</t>
  </si>
  <si>
    <t>Mai</t>
  </si>
  <si>
    <t>Jun</t>
  </si>
  <si>
    <t>Luma</t>
  </si>
  <si>
    <t>Luiz</t>
  </si>
  <si>
    <t>Higor/Jéssika</t>
  </si>
  <si>
    <t>Total</t>
  </si>
  <si>
    <t>Reuniões realizadas</t>
  </si>
  <si>
    <t>Contratos fechados (ganhos)</t>
  </si>
  <si>
    <t>Indicadores de aproveitamento do funil comercial</t>
  </si>
  <si>
    <t>Agendamento → Reunião (reuniões / agendamentos)</t>
  </si>
  <si>
    <t>Acumulado</t>
  </si>
  <si>
    <t>Geral</t>
  </si>
  <si>
    <t>Reunião → Contrato (ganhos / reuniões realizadas)</t>
  </si>
  <si>
    <t>Funil completo (ganhos / agendamentos)</t>
  </si>
  <si>
    <t>Evolução / involução mensal — Funil completo (geral)</t>
  </si>
  <si>
    <t>Indicador</t>
  </si>
  <si>
    <t>Índice do mês</t>
  </si>
  <si>
    <t>Variação vs. mês anterior (p.p.)</t>
  </si>
  <si>
    <t>Status</t>
  </si>
  <si>
    <t>—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</si>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</sst>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4A3AA7"/>
        <bgColor rgb="FF666699"/>
      </patternFill>
    </fill>
    <fill>
      <patternFill patternType="solid">
        <fgColor rgb="FFEEEDFE"/>
        <bgColor rgb="FFE1F5EE"/>
      </patternFill>
    </fill>
    <fill>
      <patternFill patternType="solid">
        <fgColor rgb="FF1BAF7A"/>
        <bgColor rgb="FF33CCCC"/>
      </patternFill>
    </fill>
    <fill>
      <patternFill patternType="solid">
        <fgColor rgb="FFE1F5EE"/>
        <bgColor rgb="FFEEEDF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4" borderId="0" xfId="0" applyFont="1" applyFill="1"/>
    <xf numFmtId="0" fontId="5" fillId="4" borderId="1" xfId="0" applyFont="1" applyFill="1" applyBorder="1" applyAlignment="1">
      <alignment horizontal="center" vertical="center"/>
    </xf>
    <xf numFmtId="0" fontId="2" fillId="5" borderId="0" xfId="0" applyFont="1" applyFill="1"/>
    <xf numFmtId="0" fontId="0" fillId="5" borderId="0" xfId="0" applyFill="1"/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6" borderId="0" xfId="0" applyFont="1" applyFill="1"/>
    <xf numFmtId="164" fontId="5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4A3AA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8876A5-28D2-4A3A-A26C-88545E2A40C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2ed70a0-2141-45a3-998b-1d95ad4f2f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A2" zoomScaleNormal="100" workbookViewId="0">
      <selection activeCell="H20" sqref="H20"/>
    </sheetView>
  </sheetViews>
  <sheetFormatPr defaultColWidth="8.6640625" defaultRowHeight="14.25" x14ac:dyDescent="0.45"/>
  <cols>
    <col min="1" max="1" width="22" customWidth="1"/>
    <col min="2" max="7" width="10" customWidth="1"/>
  </cols>
  <sheetData>
    <row r="1" spans="1:13" ht="16.899999999999999" x14ac:dyDescent="0.5">
      <c r="A1" s="16" t="s">
        <v>0</v>
      </c>
      <c r="B1" s="16"/>
      <c r="C1" s="16"/>
      <c r="D1" s="16"/>
      <c r="E1" s="16"/>
      <c r="F1" s="16"/>
      <c r="G1" s="16"/>
      <c r="H1" s="16"/>
    </row>
    <row r="3" spans="1:13" x14ac:dyDescent="0.4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4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</row>
    <row r="5" spans="1:13" x14ac:dyDescent="0.45">
      <c r="A5" s="5" t="s">
        <v>9</v>
      </c>
      <c r="B5" s="6">
        <v>19</v>
      </c>
      <c r="C5" s="6">
        <v>25</v>
      </c>
      <c r="D5" s="6">
        <v>30</v>
      </c>
      <c r="E5" s="6">
        <v>40</v>
      </c>
      <c r="F5" s="6">
        <v>23</v>
      </c>
      <c r="G5" s="6">
        <v>33</v>
      </c>
      <c r="H5" s="6">
        <v>41</v>
      </c>
      <c r="I5" s="6"/>
      <c r="J5" s="6"/>
      <c r="K5" s="6"/>
      <c r="L5" s="6"/>
      <c r="M5" s="6"/>
    </row>
    <row r="6" spans="1:13" x14ac:dyDescent="0.45">
      <c r="A6" s="5" t="s">
        <v>10</v>
      </c>
      <c r="B6" s="6">
        <v>26</v>
      </c>
      <c r="C6" s="6">
        <v>45</v>
      </c>
      <c r="D6" s="6">
        <v>61</v>
      </c>
      <c r="E6" s="6">
        <v>55</v>
      </c>
      <c r="F6" s="6">
        <v>30</v>
      </c>
      <c r="G6" s="6">
        <v>30</v>
      </c>
      <c r="H6" s="6">
        <v>42</v>
      </c>
      <c r="I6" s="6"/>
      <c r="J6" s="6"/>
      <c r="K6" s="6"/>
      <c r="L6" s="6"/>
      <c r="M6" s="6"/>
    </row>
    <row r="7" spans="1:13" x14ac:dyDescent="0.45">
      <c r="A7" s="5" t="s">
        <v>11</v>
      </c>
      <c r="B7" s="6">
        <v>5</v>
      </c>
      <c r="C7" s="6">
        <v>3</v>
      </c>
      <c r="D7" s="6"/>
      <c r="E7" s="6">
        <v>29</v>
      </c>
      <c r="F7" s="6">
        <v>30</v>
      </c>
      <c r="G7" s="6">
        <v>20</v>
      </c>
      <c r="H7" s="6"/>
      <c r="I7" s="6"/>
      <c r="J7" s="6"/>
      <c r="K7" s="6"/>
      <c r="L7" s="6"/>
      <c r="M7" s="6"/>
    </row>
    <row r="8" spans="1:13" x14ac:dyDescent="0.45">
      <c r="A8" s="7" t="s">
        <v>12</v>
      </c>
      <c r="B8" s="8">
        <f t="shared" ref="B8:G8" si="0">SUM(B5:B7)</f>
        <v>50</v>
      </c>
      <c r="C8" s="8">
        <f t="shared" si="0"/>
        <v>73</v>
      </c>
      <c r="D8" s="8">
        <f t="shared" si="0"/>
        <v>91</v>
      </c>
      <c r="E8" s="8">
        <f t="shared" si="0"/>
        <v>124</v>
      </c>
      <c r="F8" s="8">
        <f t="shared" si="0"/>
        <v>83</v>
      </c>
      <c r="G8" s="8">
        <f t="shared" si="0"/>
        <v>83</v>
      </c>
      <c r="H8" s="8">
        <f t="shared" ref="H8" si="1">SUM(H5:H7)</f>
        <v>83</v>
      </c>
      <c r="I8" s="8">
        <f t="shared" ref="I8" si="2">SUM(I5:I7)</f>
        <v>0</v>
      </c>
      <c r="J8" s="8">
        <f t="shared" ref="J8" si="3">SUM(J5:J7)</f>
        <v>0</v>
      </c>
      <c r="K8" s="8">
        <f t="shared" ref="K8" si="4">SUM(K5:K7)</f>
        <v>0</v>
      </c>
      <c r="L8" s="8">
        <f t="shared" ref="L8" si="5">SUM(L5:L7)</f>
        <v>0</v>
      </c>
      <c r="M8" s="8">
        <f t="shared" ref="M8" si="6">SUM(M5:M7)</f>
        <v>0</v>
      </c>
    </row>
    <row r="10" spans="1:13" x14ac:dyDescent="0.45">
      <c r="A10" s="1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45">
      <c r="A11" s="3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31</v>
      </c>
      <c r="M11" s="4" t="s">
        <v>32</v>
      </c>
    </row>
    <row r="12" spans="1:13" x14ac:dyDescent="0.45">
      <c r="A12" s="5" t="s">
        <v>9</v>
      </c>
      <c r="B12" s="6">
        <v>12</v>
      </c>
      <c r="C12" s="6">
        <v>14</v>
      </c>
      <c r="D12" s="6">
        <v>21</v>
      </c>
      <c r="E12" s="6">
        <v>11</v>
      </c>
      <c r="F12" s="6">
        <v>17</v>
      </c>
      <c r="G12" s="6">
        <v>21</v>
      </c>
      <c r="H12" s="6">
        <v>30</v>
      </c>
      <c r="I12" s="6"/>
      <c r="J12" s="6"/>
      <c r="K12" s="6"/>
      <c r="L12" s="6"/>
      <c r="M12" s="6"/>
    </row>
    <row r="13" spans="1:13" x14ac:dyDescent="0.45">
      <c r="A13" s="5" t="s">
        <v>10</v>
      </c>
      <c r="B13" s="6">
        <v>15</v>
      </c>
      <c r="C13" s="6">
        <v>30</v>
      </c>
      <c r="D13" s="6">
        <v>49</v>
      </c>
      <c r="E13" s="6">
        <v>39</v>
      </c>
      <c r="F13" s="6">
        <v>21</v>
      </c>
      <c r="G13" s="6">
        <v>29</v>
      </c>
      <c r="H13" s="6">
        <v>35</v>
      </c>
      <c r="I13" s="6"/>
      <c r="J13" s="6"/>
      <c r="K13" s="6"/>
      <c r="L13" s="6"/>
      <c r="M13" s="6"/>
    </row>
    <row r="14" spans="1:13" x14ac:dyDescent="0.45">
      <c r="A14" s="5" t="s">
        <v>11</v>
      </c>
      <c r="B14" s="6">
        <v>3</v>
      </c>
      <c r="C14" s="6">
        <v>0</v>
      </c>
      <c r="D14" s="6"/>
      <c r="E14" s="6">
        <v>14</v>
      </c>
      <c r="F14" s="6">
        <v>13</v>
      </c>
      <c r="G14" s="6">
        <v>10</v>
      </c>
      <c r="H14" s="6"/>
      <c r="I14" s="6"/>
      <c r="J14" s="6"/>
      <c r="K14" s="6"/>
      <c r="L14" s="6"/>
      <c r="M14" s="6"/>
    </row>
    <row r="15" spans="1:13" x14ac:dyDescent="0.45">
      <c r="A15" s="7" t="s">
        <v>12</v>
      </c>
      <c r="B15" s="8">
        <f t="shared" ref="B15:G15" si="7">SUM(B12:B14)</f>
        <v>30</v>
      </c>
      <c r="C15" s="8">
        <f t="shared" si="7"/>
        <v>44</v>
      </c>
      <c r="D15" s="8">
        <f t="shared" si="7"/>
        <v>70</v>
      </c>
      <c r="E15" s="8">
        <f t="shared" si="7"/>
        <v>64</v>
      </c>
      <c r="F15" s="8">
        <f t="shared" si="7"/>
        <v>51</v>
      </c>
      <c r="G15" s="8">
        <f t="shared" si="7"/>
        <v>60</v>
      </c>
      <c r="H15" s="8">
        <f t="shared" ref="H15" si="8">SUM(H12:H14)</f>
        <v>65</v>
      </c>
      <c r="I15" s="8">
        <f t="shared" ref="I15" si="9">SUM(I12:I14)</f>
        <v>0</v>
      </c>
      <c r="J15" s="8">
        <f t="shared" ref="J15" si="10">SUM(J12:J14)</f>
        <v>0</v>
      </c>
      <c r="K15" s="8">
        <f t="shared" ref="K15" si="11">SUM(K12:K14)</f>
        <v>0</v>
      </c>
      <c r="L15" s="8">
        <f t="shared" ref="L15" si="12">SUM(L12:L14)</f>
        <v>0</v>
      </c>
      <c r="M15" s="8">
        <f t="shared" ref="M15" si="13">SUM(M12:M14)</f>
        <v>0</v>
      </c>
    </row>
    <row r="17" spans="1:13" x14ac:dyDescent="0.45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45">
      <c r="A18" s="3" t="s">
        <v>2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27</v>
      </c>
      <c r="I18" s="4" t="s">
        <v>28</v>
      </c>
      <c r="J18" s="4" t="s">
        <v>29</v>
      </c>
      <c r="K18" s="4" t="s">
        <v>30</v>
      </c>
      <c r="L18" s="4" t="s">
        <v>31</v>
      </c>
      <c r="M18" s="4" t="s">
        <v>32</v>
      </c>
    </row>
    <row r="19" spans="1:13" x14ac:dyDescent="0.45">
      <c r="A19" s="5" t="s">
        <v>9</v>
      </c>
      <c r="B19" s="6">
        <v>3</v>
      </c>
      <c r="C19" s="6">
        <v>4</v>
      </c>
      <c r="D19" s="6">
        <v>6</v>
      </c>
      <c r="E19" s="6">
        <v>2</v>
      </c>
      <c r="F19" s="6">
        <v>3</v>
      </c>
      <c r="G19" s="6">
        <v>1</v>
      </c>
      <c r="H19" s="6">
        <v>4</v>
      </c>
      <c r="I19" s="6"/>
      <c r="J19" s="6"/>
      <c r="K19" s="6"/>
      <c r="L19" s="6"/>
      <c r="M19" s="6"/>
    </row>
    <row r="20" spans="1:13" x14ac:dyDescent="0.45">
      <c r="A20" s="5" t="s">
        <v>10</v>
      </c>
      <c r="B20" s="6">
        <v>3</v>
      </c>
      <c r="C20" s="6">
        <v>7</v>
      </c>
      <c r="D20" s="6">
        <v>4</v>
      </c>
      <c r="E20" s="6">
        <v>4</v>
      </c>
      <c r="F20" s="6">
        <v>6</v>
      </c>
      <c r="G20" s="6">
        <v>4</v>
      </c>
      <c r="H20" s="6">
        <v>3</v>
      </c>
      <c r="I20" s="6"/>
      <c r="J20" s="6"/>
      <c r="K20" s="6"/>
      <c r="L20" s="6"/>
      <c r="M20" s="6"/>
    </row>
    <row r="21" spans="1:13" x14ac:dyDescent="0.45">
      <c r="A21" s="5" t="s">
        <v>11</v>
      </c>
      <c r="B21" s="6"/>
      <c r="C21" s="6"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45">
      <c r="A22" s="7" t="s">
        <v>12</v>
      </c>
      <c r="B22" s="8">
        <f t="shared" ref="B22:G22" si="14">SUM(B19:B21)</f>
        <v>6</v>
      </c>
      <c r="C22" s="8">
        <f t="shared" si="14"/>
        <v>12</v>
      </c>
      <c r="D22" s="8">
        <f t="shared" si="14"/>
        <v>10</v>
      </c>
      <c r="E22" s="8">
        <f t="shared" si="14"/>
        <v>6</v>
      </c>
      <c r="F22" s="8">
        <f t="shared" si="14"/>
        <v>9</v>
      </c>
      <c r="G22" s="8">
        <f t="shared" si="14"/>
        <v>5</v>
      </c>
      <c r="H22" s="8">
        <f t="shared" ref="H22" si="15">SUM(H19:H21)</f>
        <v>7</v>
      </c>
      <c r="I22" s="8">
        <f t="shared" ref="I22" si="16">SUM(I19:I21)</f>
        <v>0</v>
      </c>
      <c r="J22" s="8">
        <f t="shared" ref="J22" si="17">SUM(J19:J21)</f>
        <v>0</v>
      </c>
      <c r="K22" s="8">
        <f t="shared" ref="K22" si="18">SUM(K19:K21)</f>
        <v>0</v>
      </c>
      <c r="L22" s="8">
        <f t="shared" ref="L22" si="19">SUM(L19:L21)</f>
        <v>0</v>
      </c>
      <c r="M22" s="8">
        <f t="shared" ref="M22" si="20">SUM(M19:M21)</f>
        <v>0</v>
      </c>
    </row>
  </sheetData>
  <mergeCells count="1">
    <mergeCell ref="A1:H1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A3" zoomScaleNormal="100" workbookViewId="0">
      <selection activeCell="H5" sqref="H5:H7"/>
    </sheetView>
  </sheetViews>
  <sheetFormatPr defaultColWidth="8.6640625" defaultRowHeight="14.25" x14ac:dyDescent="0.45"/>
  <cols>
    <col min="1" max="1" width="34" customWidth="1"/>
    <col min="2" max="9" width="12" customWidth="1"/>
  </cols>
  <sheetData>
    <row r="1" spans="1:10" ht="16.899999999999999" x14ac:dyDescent="0.5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45">
      <c r="A3" s="9" t="s">
        <v>16</v>
      </c>
      <c r="B3" s="10"/>
      <c r="C3" s="10"/>
      <c r="D3" s="10"/>
      <c r="E3" s="10"/>
      <c r="F3" s="10"/>
      <c r="G3" s="10"/>
      <c r="H3" s="10"/>
      <c r="I3" s="10"/>
    </row>
    <row r="4" spans="1:10" x14ac:dyDescent="0.4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27</v>
      </c>
      <c r="I4" s="4" t="s">
        <v>17</v>
      </c>
    </row>
    <row r="5" spans="1:10" x14ac:dyDescent="0.45">
      <c r="A5" s="5" t="s">
        <v>9</v>
      </c>
      <c r="B5" s="11">
        <f>IFERROR(Dados!B12/Dados!B5,"")</f>
        <v>0.63157894736842102</v>
      </c>
      <c r="C5" s="11">
        <f>IFERROR(Dados!C12/Dados!C5,"")</f>
        <v>0.56000000000000005</v>
      </c>
      <c r="D5" s="11">
        <f>IFERROR(Dados!D12/Dados!D5,"")</f>
        <v>0.7</v>
      </c>
      <c r="E5" s="11">
        <f>IFERROR(Dados!E12/Dados!E5,"")</f>
        <v>0.27500000000000002</v>
      </c>
      <c r="F5" s="11">
        <f>IFERROR(Dados!F12/Dados!F5,"")</f>
        <v>0.73913043478260865</v>
      </c>
      <c r="G5" s="11">
        <f>IFERROR(Dados!G12/Dados!G5,"")</f>
        <v>0.63636363636363635</v>
      </c>
      <c r="H5" s="11">
        <f>IFERROR(Dados!H12/Dados!H5,"")</f>
        <v>0.73170731707317072</v>
      </c>
      <c r="I5" s="12">
        <f>IFERROR(SUM(Dados!B12:G12)/SUM(Dados!B5:G5),"")</f>
        <v>0.56470588235294117</v>
      </c>
    </row>
    <row r="6" spans="1:10" x14ac:dyDescent="0.45">
      <c r="A6" s="5" t="s">
        <v>10</v>
      </c>
      <c r="B6" s="11">
        <f>IFERROR(Dados!B13/Dados!B6,"")</f>
        <v>0.57692307692307687</v>
      </c>
      <c r="C6" s="11">
        <f>IFERROR(Dados!C13/Dados!C6,"")</f>
        <v>0.66666666666666663</v>
      </c>
      <c r="D6" s="11">
        <f>IFERROR(Dados!D13/Dados!D6,"")</f>
        <v>0.80327868852459017</v>
      </c>
      <c r="E6" s="11">
        <f>IFERROR(Dados!E13/Dados!E6,"")</f>
        <v>0.70909090909090911</v>
      </c>
      <c r="F6" s="11">
        <f>IFERROR(Dados!F13/Dados!F6,"")</f>
        <v>0.7</v>
      </c>
      <c r="G6" s="11">
        <f>IFERROR(Dados!G13/Dados!G6,"")</f>
        <v>0.96666666666666667</v>
      </c>
      <c r="H6" s="11">
        <f>IFERROR(Dados!H13/Dados!H6,"")</f>
        <v>0.83333333333333337</v>
      </c>
      <c r="I6" s="12">
        <f>IFERROR(SUM(Dados!B13:G13)/SUM(Dados!B6:G6),"")</f>
        <v>0.74089068825910931</v>
      </c>
    </row>
    <row r="7" spans="1:10" x14ac:dyDescent="0.45">
      <c r="A7" s="5" t="s">
        <v>11</v>
      </c>
      <c r="B7" s="11">
        <f>IFERROR(Dados!B14/Dados!B7,"")</f>
        <v>0.6</v>
      </c>
      <c r="C7" s="11">
        <f>IFERROR(Dados!C14/Dados!C7,"")</f>
        <v>0</v>
      </c>
      <c r="D7" s="11" t="str">
        <f>IFERROR(Dados!D14/Dados!D7,"")</f>
        <v/>
      </c>
      <c r="E7" s="11">
        <f>IFERROR(Dados!E14/Dados!E7,"")</f>
        <v>0.48275862068965519</v>
      </c>
      <c r="F7" s="11">
        <f>IFERROR(Dados!F14/Dados!F7,"")</f>
        <v>0.43333333333333335</v>
      </c>
      <c r="G7" s="11">
        <f>IFERROR(Dados!G14/Dados!G7,"")</f>
        <v>0.5</v>
      </c>
      <c r="H7" s="11" t="str">
        <f>IFERROR(Dados!H14/Dados!H7,"")</f>
        <v/>
      </c>
      <c r="I7" s="12">
        <f>IFERROR(SUM(Dados!B14:G14)/SUM(Dados!B7:G7),"")</f>
        <v>0.45977011494252873</v>
      </c>
    </row>
    <row r="8" spans="1:10" x14ac:dyDescent="0.45">
      <c r="A8" s="13" t="s">
        <v>18</v>
      </c>
      <c r="B8" s="14">
        <f>IFERROR(Dados!B15/Dados!B8,"")</f>
        <v>0.6</v>
      </c>
      <c r="C8" s="14">
        <f>IFERROR(Dados!C15/Dados!C8,"")</f>
        <v>0.60273972602739723</v>
      </c>
      <c r="D8" s="14">
        <f>IFERROR(Dados!D15/Dados!D8,"")</f>
        <v>0.76923076923076927</v>
      </c>
      <c r="E8" s="14">
        <f>IFERROR(Dados!E15/Dados!E8,"")</f>
        <v>0.5161290322580645</v>
      </c>
      <c r="F8" s="14">
        <f>IFERROR(Dados!F15/Dados!F8,"")</f>
        <v>0.61445783132530118</v>
      </c>
      <c r="G8" s="14">
        <f>IFERROR(Dados!G15/Dados!G8,"")</f>
        <v>0.72289156626506024</v>
      </c>
      <c r="H8" s="14"/>
      <c r="I8" s="14">
        <f>IFERROR(SUM(Dados!B15:G15)/SUM(Dados!B8:G8),"")</f>
        <v>0.63293650793650791</v>
      </c>
    </row>
    <row r="10" spans="1:10" x14ac:dyDescent="0.45">
      <c r="A10" s="9" t="s">
        <v>19</v>
      </c>
      <c r="B10" s="10"/>
      <c r="C10" s="10"/>
      <c r="D10" s="10"/>
      <c r="E10" s="10"/>
      <c r="F10" s="10"/>
      <c r="G10" s="10"/>
      <c r="H10" s="10"/>
      <c r="I10" s="10"/>
    </row>
    <row r="11" spans="1:10" x14ac:dyDescent="0.45">
      <c r="A11" s="3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27</v>
      </c>
      <c r="I11" s="4" t="s">
        <v>17</v>
      </c>
    </row>
    <row r="12" spans="1:10" x14ac:dyDescent="0.45">
      <c r="A12" s="5" t="s">
        <v>9</v>
      </c>
      <c r="B12" s="11">
        <f>IFERROR(Dados!B19/Dados!B12,"")</f>
        <v>0.25</v>
      </c>
      <c r="C12" s="11">
        <f>IFERROR(Dados!C19/Dados!C12,"")</f>
        <v>0.2857142857142857</v>
      </c>
      <c r="D12" s="11">
        <f>IFERROR(Dados!D19/Dados!D12,"")</f>
        <v>0.2857142857142857</v>
      </c>
      <c r="E12" s="11">
        <f>IFERROR(Dados!E19/Dados!E12,"")</f>
        <v>0.18181818181818182</v>
      </c>
      <c r="F12" s="11">
        <f>IFERROR(Dados!F19/Dados!F12,"")</f>
        <v>0.17647058823529413</v>
      </c>
      <c r="G12" s="11">
        <f>IFERROR(Dados!G19/Dados!G12,"")</f>
        <v>4.7619047619047616E-2</v>
      </c>
      <c r="H12" s="11">
        <f>IFERROR(Dados!H19/Dados!H12,"")</f>
        <v>0.13333333333333333</v>
      </c>
      <c r="I12" s="12">
        <f>IFERROR(SUM(Dados!B19:G19)/SUM(Dados!B12:G12),"")</f>
        <v>0.19791666666666666</v>
      </c>
    </row>
    <row r="13" spans="1:10" x14ac:dyDescent="0.45">
      <c r="A13" s="5" t="s">
        <v>10</v>
      </c>
      <c r="B13" s="11">
        <f>IFERROR(Dados!B20/Dados!B13,"")</f>
        <v>0.2</v>
      </c>
      <c r="C13" s="11">
        <f>IFERROR(Dados!C20/Dados!C13,"")</f>
        <v>0.23333333333333334</v>
      </c>
      <c r="D13" s="11">
        <f>IFERROR(Dados!D20/Dados!D13,"")</f>
        <v>8.1632653061224483E-2</v>
      </c>
      <c r="E13" s="11">
        <f>IFERROR(Dados!E20/Dados!E13,"")</f>
        <v>0.10256410256410256</v>
      </c>
      <c r="F13" s="11">
        <f>IFERROR(Dados!F20/Dados!F13,"")</f>
        <v>0.2857142857142857</v>
      </c>
      <c r="G13" s="11">
        <f>IFERROR(Dados!G20/Dados!G13,"")</f>
        <v>0.13793103448275862</v>
      </c>
      <c r="H13" s="11">
        <f>IFERROR(Dados!H20/Dados!H13,"")</f>
        <v>8.5714285714285715E-2</v>
      </c>
      <c r="I13" s="12">
        <f>IFERROR(SUM(Dados!B20:G20)/SUM(Dados!B13:G13),"")</f>
        <v>0.15300546448087432</v>
      </c>
    </row>
    <row r="14" spans="1:10" x14ac:dyDescent="0.45">
      <c r="A14" s="5" t="s">
        <v>11</v>
      </c>
      <c r="B14" s="11">
        <f>IFERROR(Dados!B21/Dados!B14,"")</f>
        <v>0</v>
      </c>
      <c r="C14" s="11" t="str">
        <f>IFERROR(Dados!C21/Dados!C14,"")</f>
        <v/>
      </c>
      <c r="D14" s="11" t="str">
        <f>IFERROR(Dados!D21/Dados!D14,"")</f>
        <v/>
      </c>
      <c r="E14" s="11">
        <f>IFERROR(Dados!E21/Dados!E14,"")</f>
        <v>0</v>
      </c>
      <c r="F14" s="11">
        <f>IFERROR(Dados!F21/Dados!F14,"")</f>
        <v>0</v>
      </c>
      <c r="G14" s="11">
        <f>IFERROR(Dados!G21/Dados!G14,"")</f>
        <v>0</v>
      </c>
      <c r="H14" s="11" t="str">
        <f>IFERROR(Dados!H21/Dados!H14,"")</f>
        <v/>
      </c>
      <c r="I14" s="12">
        <f>IFERROR(SUM(Dados!B21:G21)/SUM(Dados!B14:G14),"")</f>
        <v>2.5000000000000001E-2</v>
      </c>
    </row>
    <row r="15" spans="1:10" x14ac:dyDescent="0.45">
      <c r="A15" s="13" t="s">
        <v>18</v>
      </c>
      <c r="B15" s="14">
        <f>IFERROR(Dados!B22/Dados!B15,"")</f>
        <v>0.2</v>
      </c>
      <c r="C15" s="14">
        <f>IFERROR(Dados!C22/Dados!C15,"")</f>
        <v>0.27272727272727271</v>
      </c>
      <c r="D15" s="14">
        <f>IFERROR(Dados!D22/Dados!D15,"")</f>
        <v>0.14285714285714285</v>
      </c>
      <c r="E15" s="14">
        <f>IFERROR(Dados!E22/Dados!E15,"")</f>
        <v>9.375E-2</v>
      </c>
      <c r="F15" s="14">
        <f>IFERROR(Dados!F22/Dados!F15,"")</f>
        <v>0.17647058823529413</v>
      </c>
      <c r="G15" s="14">
        <f>IFERROR(Dados!G22/Dados!G15,"")</f>
        <v>8.3333333333333329E-2</v>
      </c>
      <c r="H15" s="14"/>
      <c r="I15" s="14">
        <f>IFERROR(SUM(Dados!B22:G22)/SUM(Dados!B15:G15),"")</f>
        <v>0.15047021943573669</v>
      </c>
    </row>
    <row r="17" spans="1:9" x14ac:dyDescent="0.45">
      <c r="A17" s="9" t="s">
        <v>20</v>
      </c>
      <c r="B17" s="10"/>
      <c r="C17" s="10"/>
      <c r="D17" s="10"/>
      <c r="E17" s="10"/>
      <c r="F17" s="10"/>
      <c r="G17" s="10"/>
      <c r="H17" s="10"/>
      <c r="I17" s="10"/>
    </row>
    <row r="18" spans="1:9" x14ac:dyDescent="0.45">
      <c r="A18" s="3" t="s">
        <v>2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27</v>
      </c>
      <c r="I18" s="4" t="s">
        <v>17</v>
      </c>
    </row>
    <row r="19" spans="1:9" x14ac:dyDescent="0.45">
      <c r="A19" s="5" t="s">
        <v>9</v>
      </c>
      <c r="B19" s="11">
        <f>IFERROR(Dados!B19/Dados!B5,"")</f>
        <v>0.15789473684210525</v>
      </c>
      <c r="C19" s="11">
        <f>IFERROR(Dados!C19/Dados!C5,"")</f>
        <v>0.16</v>
      </c>
      <c r="D19" s="11">
        <f>IFERROR(Dados!D19/Dados!D5,"")</f>
        <v>0.2</v>
      </c>
      <c r="E19" s="11">
        <f>IFERROR(Dados!E19/Dados!E5,"")</f>
        <v>0.05</v>
      </c>
      <c r="F19" s="11">
        <f>IFERROR(Dados!F19/Dados!F5,"")</f>
        <v>0.13043478260869565</v>
      </c>
      <c r="G19" s="11">
        <f>IFERROR(Dados!G19/Dados!G5,"")</f>
        <v>3.0303030303030304E-2</v>
      </c>
      <c r="H19" s="11">
        <f>IFERROR(Dados!H19/Dados!H5,"")</f>
        <v>9.7560975609756101E-2</v>
      </c>
      <c r="I19" s="12">
        <f>IFERROR(SUM(Dados!B19:G19)/SUM(Dados!B5:G5),"")</f>
        <v>0.11176470588235295</v>
      </c>
    </row>
    <row r="20" spans="1:9" x14ac:dyDescent="0.45">
      <c r="A20" s="5" t="s">
        <v>10</v>
      </c>
      <c r="B20" s="11">
        <f>IFERROR(Dados!B20/Dados!B6,"")</f>
        <v>0.11538461538461539</v>
      </c>
      <c r="C20" s="11">
        <f>IFERROR(Dados!C20/Dados!C6,"")</f>
        <v>0.15555555555555556</v>
      </c>
      <c r="D20" s="11">
        <f>IFERROR(Dados!D20/Dados!D6,"")</f>
        <v>6.5573770491803282E-2</v>
      </c>
      <c r="E20" s="11">
        <f>IFERROR(Dados!E20/Dados!E6,"")</f>
        <v>7.2727272727272724E-2</v>
      </c>
      <c r="F20" s="11">
        <f>IFERROR(Dados!F20/Dados!F6,"")</f>
        <v>0.2</v>
      </c>
      <c r="G20" s="11">
        <f>IFERROR(Dados!G20/Dados!G6,"")</f>
        <v>0.13333333333333333</v>
      </c>
      <c r="H20" s="11">
        <f>IFERROR(Dados!H20/Dados!H6,"")</f>
        <v>7.1428571428571425E-2</v>
      </c>
      <c r="I20" s="12">
        <f>IFERROR(SUM(Dados!B20:G20)/SUM(Dados!B6:G6),"")</f>
        <v>0.11336032388663968</v>
      </c>
    </row>
    <row r="21" spans="1:9" x14ac:dyDescent="0.45">
      <c r="A21" s="5" t="s">
        <v>11</v>
      </c>
      <c r="B21" s="11">
        <f>IFERROR(Dados!B21/Dados!B7,"")</f>
        <v>0</v>
      </c>
      <c r="C21" s="11">
        <f>IFERROR(Dados!C21/Dados!C7,"")</f>
        <v>0.33333333333333331</v>
      </c>
      <c r="D21" s="11" t="str">
        <f>IFERROR(Dados!D21/Dados!D7,"")</f>
        <v/>
      </c>
      <c r="E21" s="11">
        <f>IFERROR(Dados!E21/Dados!E7,"")</f>
        <v>0</v>
      </c>
      <c r="F21" s="11">
        <f>IFERROR(Dados!F21/Dados!F7,"")</f>
        <v>0</v>
      </c>
      <c r="G21" s="11">
        <f>IFERROR(Dados!G21/Dados!G7,"")</f>
        <v>0</v>
      </c>
      <c r="H21" s="11" t="str">
        <f>IFERROR(Dados!H21/Dados!H7,"")</f>
        <v/>
      </c>
      <c r="I21" s="12">
        <f>IFERROR(SUM(Dados!B21:G21)/SUM(Dados!B7:G7),"")</f>
        <v>1.1494252873563218E-2</v>
      </c>
    </row>
    <row r="22" spans="1:9" x14ac:dyDescent="0.45">
      <c r="A22" s="13" t="s">
        <v>18</v>
      </c>
      <c r="B22" s="14">
        <f>IFERROR(Dados!B22/Dados!B8,"")</f>
        <v>0.12</v>
      </c>
      <c r="C22" s="14">
        <f>IFERROR(Dados!C22/Dados!C8,"")</f>
        <v>0.16438356164383561</v>
      </c>
      <c r="D22" s="14">
        <f>IFERROR(Dados!D22/Dados!D8,"")</f>
        <v>0.10989010989010989</v>
      </c>
      <c r="E22" s="14">
        <f>IFERROR(Dados!E22/Dados!E8,"")</f>
        <v>4.8387096774193547E-2</v>
      </c>
      <c r="F22" s="14">
        <f>IFERROR(Dados!F22/Dados!F8,"")</f>
        <v>0.10843373493975904</v>
      </c>
      <c r="G22" s="14">
        <f>IFERROR(Dados!G22/Dados!G8,"")</f>
        <v>6.0240963855421686E-2</v>
      </c>
      <c r="H22" s="14"/>
      <c r="I22" s="14">
        <f>IFERROR(SUM(Dados!B22:G22)/SUM(Dados!B8:G8),"")</f>
        <v>9.5238095238095233E-2</v>
      </c>
    </row>
    <row r="25" spans="1:9" x14ac:dyDescent="0.45">
      <c r="A25" s="9" t="s">
        <v>21</v>
      </c>
      <c r="B25" s="10"/>
      <c r="C25" s="10"/>
      <c r="D25" s="10"/>
      <c r="E25" s="10"/>
      <c r="F25" s="10"/>
      <c r="G25" s="10"/>
      <c r="H25" s="10"/>
      <c r="I25" s="10"/>
    </row>
    <row r="26" spans="1:9" x14ac:dyDescent="0.45">
      <c r="A26" s="3" t="s">
        <v>22</v>
      </c>
      <c r="B26" s="4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27</v>
      </c>
    </row>
    <row r="27" spans="1:9" x14ac:dyDescent="0.45">
      <c r="A27" s="5" t="s">
        <v>23</v>
      </c>
      <c r="B27" s="11">
        <f t="shared" ref="B27:G27" si="0">B22</f>
        <v>0.12</v>
      </c>
      <c r="C27" s="11">
        <f t="shared" si="0"/>
        <v>0.16438356164383561</v>
      </c>
      <c r="D27" s="11">
        <f t="shared" si="0"/>
        <v>0.10989010989010989</v>
      </c>
      <c r="E27" s="11">
        <f t="shared" si="0"/>
        <v>4.8387096774193547E-2</v>
      </c>
      <c r="F27" s="11">
        <f t="shared" si="0"/>
        <v>0.10843373493975904</v>
      </c>
      <c r="G27" s="11">
        <f t="shared" si="0"/>
        <v>6.0240963855421686E-2</v>
      </c>
      <c r="H27" s="11">
        <f t="shared" ref="H27" si="1">H22</f>
        <v>0</v>
      </c>
    </row>
    <row r="28" spans="1:9" x14ac:dyDescent="0.45">
      <c r="A28" s="5" t="s">
        <v>24</v>
      </c>
      <c r="B28" s="15"/>
      <c r="C28" s="11">
        <f t="shared" ref="C28:H28" si="2">IFERROR((C27-B27),"")</f>
        <v>4.4383561643835612E-2</v>
      </c>
      <c r="D28" s="11">
        <f t="shared" si="2"/>
        <v>-5.4493451753725719E-2</v>
      </c>
      <c r="E28" s="11">
        <f t="shared" si="2"/>
        <v>-6.1503013115916341E-2</v>
      </c>
      <c r="F28" s="11">
        <f t="shared" si="2"/>
        <v>6.0046638165565491E-2</v>
      </c>
      <c r="G28" s="11">
        <f t="shared" si="2"/>
        <v>-4.8192771084337352E-2</v>
      </c>
      <c r="H28" s="11">
        <f t="shared" si="2"/>
        <v>-6.0240963855421686E-2</v>
      </c>
    </row>
    <row r="29" spans="1:9" x14ac:dyDescent="0.45">
      <c r="A29" s="5" t="s">
        <v>25</v>
      </c>
      <c r="B29" s="15" t="s">
        <v>26</v>
      </c>
      <c r="C29" s="15" t="str">
        <f t="shared" ref="C29:H29" si="3">IF(C28="","—",IF(C28&gt;=0,"Evolução","Involução"))</f>
        <v>Evolução</v>
      </c>
      <c r="D29" s="15" t="str">
        <f t="shared" si="3"/>
        <v>Involução</v>
      </c>
      <c r="E29" s="15" t="str">
        <f t="shared" si="3"/>
        <v>Involução</v>
      </c>
      <c r="F29" s="15" t="str">
        <f t="shared" si="3"/>
        <v>Evolução</v>
      </c>
      <c r="G29" s="15" t="str">
        <f t="shared" si="3"/>
        <v>Involução</v>
      </c>
      <c r="H29" s="15" t="str">
        <f t="shared" si="3"/>
        <v>Involução</v>
      </c>
    </row>
  </sheetData>
  <mergeCells count="1">
    <mergeCell ref="A1:J1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frança</cp:lastModifiedBy>
  <cp:revision>0</cp:revision>
  <dcterms:created xsi:type="dcterms:W3CDTF">2026-07-13T20:56:31Z</dcterms:created>
  <dcterms:modified xsi:type="dcterms:W3CDTF">2026-08-03T12:28:34Z</dcterms:modified>
  <dc:language>en-US</dc:language>
</cp:coreProperties>
</file>