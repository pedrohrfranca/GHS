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Indicador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<sst xmlns="http://schemas.openxmlformats.org/spreadsheetml/2006/main" count="89" uniqueCount="27">
  <si>
    <t xml:space="preserve">Dados brutos — Agendamento, Reunião e Contrato fechado</t>
  </si>
  <si>
    <t xml:space="preserve">Agendamentos</t>
  </si>
  <si>
    <t xml:space="preserve">Executivo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</si>
  <si>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</si>
  <si>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</si>
  <si>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</si>
  <si>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</si>
  <si>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</si>
  <si>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</si>
  <si>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Luma</t>
  </si>
  <si>
    <t xml:space="preserve">Luiz</t>
  </si>
  <si>
    <t xml:space="preserve">Higor/Jéssika</t>
  </si>
  <si>
    <t xml:space="preserve">Total</t>
  </si>
  <si>
    <t xml:space="preserve">Reuniões realizadas</t>
  </si>
  <si>
    <t xml:space="preserve">Contratos fechados (ganhos)</t>
  </si>
  <si>
    <t xml:space="preserve">Indicadores de aproveitamento do funil comercial</t>
  </si>
  <si>
    <t xml:space="preserve">Agendamento → Reunião (reuniões / agendamentos)</t>
  </si>
  <si>
    <t xml:space="preserve">Acumulado</t>
  </si>
  <si>
    <t xml:space="preserve">Geral</t>
  </si>
  <si>
    <t xml:space="preserve">Reunião → Contrato (ganhos / reuniões realizadas)</t>
  </si>
  <si>
    <t xml:space="preserve">Funil completo (ganhos / agendamentos)</t>
  </si>
  <si>
    <t xml:space="preserve">Evolução / involução mensal — Funil completo (geral)</t>
  </si>
  <si>
    <t xml:space="preserve">Indicador</t>
  </si>
  <si>
    <t xml:space="preserve">Índice do mês</t>
  </si>
  <si>
    <t xml:space="preserve">Variação vs. mês anterior (p.p.)</t>
  </si>
  <si>
    <t xml:space="preserve">Status</t>
  </si>
  <si>
    <t xml:space="preserve">—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</si>
</sst>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A78D6"/>
        <bgColor rgb="FF0066CC"/>
      </patternFill>
    </fill>
    <fill>
      <patternFill patternType="solid">
        <fgColor rgb="FF4A3AA7"/>
        <bgColor rgb="FF666699"/>
      </patternFill>
    </fill>
    <fill>
      <patternFill patternType="solid">
        <fgColor rgb="FFEEEDFE"/>
        <bgColor rgb="FFE1F5EE"/>
      </patternFill>
    </fill>
    <fill>
      <patternFill patternType="solid">
        <fgColor rgb="FF1BAF7A"/>
        <bgColor rgb="FF33CCCC"/>
      </patternFill>
    </fill>
    <fill>
      <patternFill patternType="solid">
        <fgColor rgb="FFE1F5EE"/>
        <bgColor rgb="FFEEEDF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3D1C7"/>
      <rgbColor rgb="FF808080"/>
      <rgbColor rgb="FF9999FF"/>
      <rgbColor rgb="FF993366"/>
      <rgbColor rgb="FFFFFFCC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DFE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BAF7A"/>
      <rgbColor rgb="FF003300"/>
      <rgbColor rgb="FF333300"/>
      <rgbColor rgb="FF993300"/>
      <rgbColor rgb="FF993366"/>
      <rgbColor rgb="FF4A3AA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0"/>
  </cols>
  <sheetData>
    <row r="1" customFormat="false" ht="16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2" t="s">
        <v>1</v>
      </c>
      <c r="B3" s="3"/>
      <c r="C3" s="3"/>
      <c r="D3" s="3"/>
      <c r="E3" s="3"/>
      <c r="F3" s="3"/>
      <c r="G3" s="3"/>
    </row>
    <row r="4" customFormat="false" ht="15" hidden="false" customHeight="false" outlineLevel="0" collapsed="false">
      <c r="A4" s="4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</row>
    <row r="5" customFormat="false" ht="15" hidden="false" customHeight="false" outlineLevel="0" collapsed="false">
      <c r="A5" s="6" t="s">
        <v>9</v>
      </c>
      <c r="B5" s="7" t="n">
        <v>19</v>
      </c>
      <c r="C5" s="7" t="n">
        <v>25</v>
      </c>
      <c r="D5" s="7" t="n">
        <v>30</v>
      </c>
      <c r="E5" s="7" t="n">
        <v>40</v>
      </c>
      <c r="F5" s="7" t="n">
        <v>23</v>
      </c>
      <c r="G5" s="7" t="n">
        <v>33</v>
      </c>
    </row>
    <row r="6" customFormat="false" ht="15" hidden="false" customHeight="false" outlineLevel="0" collapsed="false">
      <c r="A6" s="6" t="s">
        <v>10</v>
      </c>
      <c r="B6" s="7" t="n">
        <v>26</v>
      </c>
      <c r="C6" s="7" t="n">
        <v>45</v>
      </c>
      <c r="D6" s="7" t="n">
        <v>61</v>
      </c>
      <c r="E6" s="7" t="n">
        <v>55</v>
      </c>
      <c r="F6" s="7" t="n">
        <v>30</v>
      </c>
      <c r="G6" s="7" t="n">
        <v>30</v>
      </c>
    </row>
    <row r="7" customFormat="false" ht="15" hidden="false" customHeight="false" outlineLevel="0" collapsed="false">
      <c r="A7" s="6" t="s">
        <v>11</v>
      </c>
      <c r="B7" s="7" t="n">
        <v>5</v>
      </c>
      <c r="C7" s="7" t="n">
        <v>3</v>
      </c>
      <c r="D7" s="7"/>
      <c r="E7" s="7" t="n">
        <v>29</v>
      </c>
      <c r="F7" s="7" t="n">
        <v>30</v>
      </c>
      <c r="G7" s="7" t="n">
        <v>20</v>
      </c>
    </row>
    <row r="8" customFormat="false" ht="15" hidden="false" customHeight="false" outlineLevel="0" collapsed="false">
      <c r="A8" s="8" t="s">
        <v>12</v>
      </c>
      <c r="B8" s="9" t="n">
        <f aca="false">SUM(B5:B7)</f>
        <v>50</v>
      </c>
      <c r="C8" s="9" t="n">
        <f aca="false">SUM(C5:C7)</f>
        <v>73</v>
      </c>
      <c r="D8" s="9" t="n">
        <f aca="false">SUM(D5:D7)</f>
        <v>91</v>
      </c>
      <c r="E8" s="9" t="n">
        <f aca="false">SUM(E5:E7)</f>
        <v>124</v>
      </c>
      <c r="F8" s="9" t="n">
        <f aca="false">SUM(F5:F7)</f>
        <v>83</v>
      </c>
      <c r="G8" s="9" t="n">
        <f aca="false">SUM(G5:G7)</f>
        <v>83</v>
      </c>
    </row>
    <row r="10" customFormat="false" ht="15" hidden="false" customHeight="false" outlineLevel="0" collapsed="false">
      <c r="A10" s="2" t="s">
        <v>13</v>
      </c>
      <c r="B10" s="3"/>
      <c r="C10" s="3"/>
      <c r="D10" s="3"/>
      <c r="E10" s="3"/>
      <c r="F10" s="3"/>
      <c r="G10" s="3"/>
    </row>
    <row r="11" customFormat="false" ht="15" hidden="false" customHeight="false" outlineLevel="0" collapsed="false">
      <c r="A11" s="4" t="s">
        <v>2</v>
      </c>
      <c r="B11" s="5" t="s">
        <v>3</v>
      </c>
      <c r="C11" s="5" t="s">
        <v>4</v>
      </c>
      <c r="D11" s="5" t="s">
        <v>5</v>
      </c>
      <c r="E11" s="5" t="s">
        <v>6</v>
      </c>
      <c r="F11" s="5" t="s">
        <v>7</v>
      </c>
      <c r="G11" s="5" t="s">
        <v>8</v>
      </c>
    </row>
    <row r="12" customFormat="false" ht="15" hidden="false" customHeight="false" outlineLevel="0" collapsed="false">
      <c r="A12" s="6" t="s">
        <v>9</v>
      </c>
      <c r="B12" s="7" t="n">
        <v>12</v>
      </c>
      <c r="C12" s="7" t="n">
        <v>14</v>
      </c>
      <c r="D12" s="7" t="n">
        <v>21</v>
      </c>
      <c r="E12" s="7" t="n">
        <v>11</v>
      </c>
      <c r="F12" s="7" t="n">
        <v>17</v>
      </c>
      <c r="G12" s="7" t="n">
        <v>21</v>
      </c>
    </row>
    <row r="13" customFormat="false" ht="15" hidden="false" customHeight="false" outlineLevel="0" collapsed="false">
      <c r="A13" s="6" t="s">
        <v>10</v>
      </c>
      <c r="B13" s="7" t="n">
        <v>15</v>
      </c>
      <c r="C13" s="7" t="n">
        <v>30</v>
      </c>
      <c r="D13" s="7" t="n">
        <v>49</v>
      </c>
      <c r="E13" s="7" t="n">
        <v>39</v>
      </c>
      <c r="F13" s="7" t="n">
        <v>21</v>
      </c>
      <c r="G13" s="7" t="n">
        <v>29</v>
      </c>
    </row>
    <row r="14" customFormat="false" ht="15" hidden="false" customHeight="false" outlineLevel="0" collapsed="false">
      <c r="A14" s="6" t="s">
        <v>11</v>
      </c>
      <c r="B14" s="7" t="n">
        <v>3</v>
      </c>
      <c r="C14" s="7" t="n">
        <v>0</v>
      </c>
      <c r="D14" s="7"/>
      <c r="E14" s="7" t="n">
        <v>14</v>
      </c>
      <c r="F14" s="7" t="n">
        <v>13</v>
      </c>
      <c r="G14" s="7" t="n">
        <v>10</v>
      </c>
    </row>
    <row r="15" customFormat="false" ht="15" hidden="false" customHeight="false" outlineLevel="0" collapsed="false">
      <c r="A15" s="8" t="s">
        <v>12</v>
      </c>
      <c r="B15" s="9" t="n">
        <f aca="false">SUM(B12:B14)</f>
        <v>30</v>
      </c>
      <c r="C15" s="9" t="n">
        <f aca="false">SUM(C12:C14)</f>
        <v>44</v>
      </c>
      <c r="D15" s="9" t="n">
        <f aca="false">SUM(D12:D14)</f>
        <v>70</v>
      </c>
      <c r="E15" s="9" t="n">
        <f aca="false">SUM(E12:E14)</f>
        <v>64</v>
      </c>
      <c r="F15" s="9" t="n">
        <f aca="false">SUM(F12:F14)</f>
        <v>51</v>
      </c>
      <c r="G15" s="9" t="n">
        <f aca="false">SUM(G12:G14)</f>
        <v>60</v>
      </c>
    </row>
    <row r="17" customFormat="false" ht="15" hidden="false" customHeight="false" outlineLevel="0" collapsed="false">
      <c r="A17" s="2" t="s">
        <v>14</v>
      </c>
      <c r="B17" s="3"/>
      <c r="C17" s="3"/>
      <c r="D17" s="3"/>
      <c r="E17" s="3"/>
      <c r="F17" s="3"/>
      <c r="G17" s="3"/>
    </row>
    <row r="18" customFormat="false" ht="15" hidden="false" customHeight="false" outlineLevel="0" collapsed="false">
      <c r="A18" s="4" t="s">
        <v>2</v>
      </c>
      <c r="B18" s="5" t="s">
        <v>3</v>
      </c>
      <c r="C18" s="5" t="s">
        <v>4</v>
      </c>
      <c r="D18" s="5" t="s">
        <v>5</v>
      </c>
      <c r="E18" s="5" t="s">
        <v>6</v>
      </c>
      <c r="F18" s="5" t="s">
        <v>7</v>
      </c>
      <c r="G18" s="5" t="s">
        <v>8</v>
      </c>
    </row>
    <row r="19" customFormat="false" ht="15" hidden="false" customHeight="false" outlineLevel="0" collapsed="false">
      <c r="A19" s="6" t="s">
        <v>9</v>
      </c>
      <c r="B19" s="7" t="n">
        <v>3</v>
      </c>
      <c r="C19" s="7" t="n">
        <v>4</v>
      </c>
      <c r="D19" s="7" t="n">
        <v>6</v>
      </c>
      <c r="E19" s="7" t="n">
        <v>2</v>
      </c>
      <c r="F19" s="7" t="n">
        <v>3</v>
      </c>
      <c r="G19" s="7" t="n">
        <v>1</v>
      </c>
    </row>
    <row r="20" customFormat="false" ht="15" hidden="false" customHeight="false" outlineLevel="0" collapsed="false">
      <c r="A20" s="6" t="s">
        <v>10</v>
      </c>
      <c r="B20" s="7" t="n">
        <v>3</v>
      </c>
      <c r="C20" s="7" t="n">
        <v>7</v>
      </c>
      <c r="D20" s="7" t="n">
        <v>4</v>
      </c>
      <c r="E20" s="7" t="n">
        <v>4</v>
      </c>
      <c r="F20" s="7" t="n">
        <v>6</v>
      </c>
      <c r="G20" s="7" t="n">
        <v>4</v>
      </c>
    </row>
    <row r="21" customFormat="false" ht="15" hidden="false" customHeight="false" outlineLevel="0" collapsed="false">
      <c r="A21" s="6" t="s">
        <v>11</v>
      </c>
      <c r="B21" s="7"/>
      <c r="C21" s="7" t="n">
        <v>1</v>
      </c>
      <c r="D21" s="7"/>
      <c r="E21" s="7"/>
      <c r="F21" s="7"/>
      <c r="G21" s="7"/>
    </row>
    <row r="22" customFormat="false" ht="15" hidden="false" customHeight="false" outlineLevel="0" collapsed="false">
      <c r="A22" s="8" t="s">
        <v>12</v>
      </c>
      <c r="B22" s="9" t="n">
        <f aca="false">SUM(B19:B21)</f>
        <v>6</v>
      </c>
      <c r="C22" s="9" t="n">
        <f aca="false">SUM(C19:C21)</f>
        <v>12</v>
      </c>
      <c r="D22" s="9" t="n">
        <f aca="false">SUM(D19:D21)</f>
        <v>10</v>
      </c>
      <c r="E22" s="9" t="n">
        <f aca="false">SUM(E19:E21)</f>
        <v>6</v>
      </c>
      <c r="F22" s="9" t="n">
        <f aca="false">SUM(F19:F21)</f>
        <v>9</v>
      </c>
      <c r="G22" s="9" t="n">
        <f aca="false">SUM(G19:G21)</f>
        <v>5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8" min="2" style="0" width="12"/>
  </cols>
  <sheetData>
    <row r="1" customFormat="false" ht="16.15" hidden="false" customHeight="false" outlineLevel="0" collapsed="false">
      <c r="A1" s="1" t="s">
        <v>15</v>
      </c>
      <c r="B1" s="1"/>
      <c r="C1" s="1"/>
      <c r="D1" s="1"/>
      <c r="E1" s="1"/>
      <c r="F1" s="1"/>
      <c r="G1" s="1"/>
      <c r="H1" s="1"/>
      <c r="I1" s="1"/>
    </row>
    <row r="3" customFormat="false" ht="15" hidden="false" customHeight="false" outlineLevel="0" collapsed="false">
      <c r="A3" s="10" t="s">
        <v>16</v>
      </c>
      <c r="B3" s="11"/>
      <c r="C3" s="11"/>
      <c r="D3" s="11"/>
      <c r="E3" s="11"/>
      <c r="F3" s="11"/>
      <c r="G3" s="11"/>
      <c r="H3" s="11"/>
    </row>
    <row r="4" customFormat="false" ht="15" hidden="false" customHeight="false" outlineLevel="0" collapsed="false">
      <c r="A4" s="4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17</v>
      </c>
    </row>
    <row r="5" customFormat="false" ht="15" hidden="false" customHeight="false" outlineLevel="0" collapsed="false">
      <c r="A5" s="6" t="s">
        <v>9</v>
      </c>
      <c r="B5" s="12" t="n">
        <f aca="false">IFERROR(Dados!B12/Dados!B5,"")</f>
        <v>0.631578947368421</v>
      </c>
      <c r="C5" s="12" t="n">
        <f aca="false">IFERROR(Dados!C12/Dados!C5,"")</f>
        <v>0.56</v>
      </c>
      <c r="D5" s="12" t="n">
        <f aca="false">IFERROR(Dados!D12/Dados!D5,"")</f>
        <v>0.7</v>
      </c>
      <c r="E5" s="12" t="n">
        <f aca="false">IFERROR(Dados!E12/Dados!E5,"")</f>
        <v>0.275</v>
      </c>
      <c r="F5" s="12" t="n">
        <f aca="false">IFERROR(Dados!F12/Dados!F5,"")</f>
        <v>0.739130434782609</v>
      </c>
      <c r="G5" s="12" t="n">
        <f aca="false">IFERROR(Dados!G12/Dados!G5,"")</f>
        <v>0.636363636363636</v>
      </c>
      <c r="H5" s="13" t="n">
        <f aca="false">IFERROR(SUM(Dados!B12:G12)/SUM(Dados!B5:G5),"")</f>
        <v>0.564705882352941</v>
      </c>
    </row>
    <row r="6" customFormat="false" ht="15" hidden="false" customHeight="false" outlineLevel="0" collapsed="false">
      <c r="A6" s="6" t="s">
        <v>10</v>
      </c>
      <c r="B6" s="12" t="n">
        <f aca="false">IFERROR(Dados!B13/Dados!B6,"")</f>
        <v>0.576923076923077</v>
      </c>
      <c r="C6" s="12" t="n">
        <f aca="false">IFERROR(Dados!C13/Dados!C6,"")</f>
        <v>0.666666666666667</v>
      </c>
      <c r="D6" s="12" t="n">
        <f aca="false">IFERROR(Dados!D13/Dados!D6,"")</f>
        <v>0.80327868852459</v>
      </c>
      <c r="E6" s="12" t="n">
        <f aca="false">IFERROR(Dados!E13/Dados!E6,"")</f>
        <v>0.709090909090909</v>
      </c>
      <c r="F6" s="12" t="n">
        <f aca="false">IFERROR(Dados!F13/Dados!F6,"")</f>
        <v>0.7</v>
      </c>
      <c r="G6" s="12" t="n">
        <f aca="false">IFERROR(Dados!G13/Dados!G6,"")</f>
        <v>0.966666666666667</v>
      </c>
      <c r="H6" s="13" t="n">
        <f aca="false">IFERROR(SUM(Dados!B13:G13)/SUM(Dados!B6:G6),"")</f>
        <v>0.740890688259109</v>
      </c>
    </row>
    <row r="7" customFormat="false" ht="15" hidden="false" customHeight="false" outlineLevel="0" collapsed="false">
      <c r="A7" s="6" t="s">
        <v>11</v>
      </c>
      <c r="B7" s="12" t="n">
        <f aca="false">IFERROR(Dados!B14/Dados!B7,"")</f>
        <v>0.6</v>
      </c>
      <c r="C7" s="12" t="n">
        <f aca="false">IFERROR(Dados!C14/Dados!C7,"")</f>
        <v>0</v>
      </c>
      <c r="D7" s="12" t="str">
        <f aca="false">IFERROR(Dados!D14/Dados!D7,"")</f>
        <v/>
      </c>
      <c r="E7" s="12" t="n">
        <f aca="false">IFERROR(Dados!E14/Dados!E7,"")</f>
        <v>0.482758620689655</v>
      </c>
      <c r="F7" s="12" t="n">
        <f aca="false">IFERROR(Dados!F14/Dados!F7,"")</f>
        <v>0.433333333333333</v>
      </c>
      <c r="G7" s="12" t="n">
        <f aca="false">IFERROR(Dados!G14/Dados!G7,"")</f>
        <v>0.5</v>
      </c>
      <c r="H7" s="13" t="n">
        <f aca="false">IFERROR(SUM(Dados!B14:G14)/SUM(Dados!B7:G7),"")</f>
        <v>0.459770114942529</v>
      </c>
    </row>
    <row r="8" customFormat="false" ht="15" hidden="false" customHeight="false" outlineLevel="0" collapsed="false">
      <c r="A8" s="14" t="s">
        <v>18</v>
      </c>
      <c r="B8" s="15" t="n">
        <f aca="false">IFERROR(Dados!B15/Dados!B8,"")</f>
        <v>0.6</v>
      </c>
      <c r="C8" s="15" t="n">
        <f aca="false">IFERROR(Dados!C15/Dados!C8,"")</f>
        <v>0.602739726027397</v>
      </c>
      <c r="D8" s="15" t="n">
        <f aca="false">IFERROR(Dados!D15/Dados!D8,"")</f>
        <v>0.769230769230769</v>
      </c>
      <c r="E8" s="15" t="n">
        <f aca="false">IFERROR(Dados!E15/Dados!E8,"")</f>
        <v>0.516129032258065</v>
      </c>
      <c r="F8" s="15" t="n">
        <f aca="false">IFERROR(Dados!F15/Dados!F8,"")</f>
        <v>0.614457831325301</v>
      </c>
      <c r="G8" s="15" t="n">
        <f aca="false">IFERROR(Dados!G15/Dados!G8,"")</f>
        <v>0.72289156626506</v>
      </c>
      <c r="H8" s="15" t="n">
        <f aca="false">IFERROR(SUM(Dados!B15:G15)/SUM(Dados!B8:G8),"")</f>
        <v>0.632936507936508</v>
      </c>
    </row>
    <row r="10" customFormat="false" ht="15" hidden="false" customHeight="false" outlineLevel="0" collapsed="false">
      <c r="A10" s="10" t="s">
        <v>19</v>
      </c>
      <c r="B10" s="11"/>
      <c r="C10" s="11"/>
      <c r="D10" s="11"/>
      <c r="E10" s="11"/>
      <c r="F10" s="11"/>
      <c r="G10" s="11"/>
      <c r="H10" s="11"/>
    </row>
    <row r="11" customFormat="false" ht="15" hidden="false" customHeight="false" outlineLevel="0" collapsed="false">
      <c r="A11" s="4" t="s">
        <v>2</v>
      </c>
      <c r="B11" s="5" t="s">
        <v>3</v>
      </c>
      <c r="C11" s="5" t="s">
        <v>4</v>
      </c>
      <c r="D11" s="5" t="s">
        <v>5</v>
      </c>
      <c r="E11" s="5" t="s">
        <v>6</v>
      </c>
      <c r="F11" s="5" t="s">
        <v>7</v>
      </c>
      <c r="G11" s="5" t="s">
        <v>8</v>
      </c>
      <c r="H11" s="5" t="s">
        <v>17</v>
      </c>
    </row>
    <row r="12" customFormat="false" ht="15" hidden="false" customHeight="false" outlineLevel="0" collapsed="false">
      <c r="A12" s="6" t="s">
        <v>9</v>
      </c>
      <c r="B12" s="12" t="n">
        <f aca="false">IFERROR(Dados!B19/Dados!B12,"")</f>
        <v>0.25</v>
      </c>
      <c r="C12" s="12" t="n">
        <f aca="false">IFERROR(Dados!C19/Dados!C12,"")</f>
        <v>0.285714285714286</v>
      </c>
      <c r="D12" s="12" t="n">
        <f aca="false">IFERROR(Dados!D19/Dados!D12,"")</f>
        <v>0.285714285714286</v>
      </c>
      <c r="E12" s="12" t="n">
        <f aca="false">IFERROR(Dados!E19/Dados!E12,"")</f>
        <v>0.181818181818182</v>
      </c>
      <c r="F12" s="12" t="n">
        <f aca="false">IFERROR(Dados!F19/Dados!F12,"")</f>
        <v>0.176470588235294</v>
      </c>
      <c r="G12" s="12" t="n">
        <f aca="false">IFERROR(Dados!G19/Dados!G12,"")</f>
        <v>0.0476190476190476</v>
      </c>
      <c r="H12" s="13" t="n">
        <f aca="false">IFERROR(SUM(Dados!B19:G19)/SUM(Dados!B12:G12),"")</f>
        <v>0.197916666666667</v>
      </c>
    </row>
    <row r="13" customFormat="false" ht="15" hidden="false" customHeight="false" outlineLevel="0" collapsed="false">
      <c r="A13" s="6" t="s">
        <v>10</v>
      </c>
      <c r="B13" s="12" t="n">
        <f aca="false">IFERROR(Dados!B20/Dados!B13,"")</f>
        <v>0.2</v>
      </c>
      <c r="C13" s="12" t="n">
        <f aca="false">IFERROR(Dados!C20/Dados!C13,"")</f>
        <v>0.233333333333333</v>
      </c>
      <c r="D13" s="12" t="n">
        <f aca="false">IFERROR(Dados!D20/Dados!D13,"")</f>
        <v>0.0816326530612245</v>
      </c>
      <c r="E13" s="12" t="n">
        <f aca="false">IFERROR(Dados!E20/Dados!E13,"")</f>
        <v>0.102564102564103</v>
      </c>
      <c r="F13" s="12" t="n">
        <f aca="false">IFERROR(Dados!F20/Dados!F13,"")</f>
        <v>0.285714285714286</v>
      </c>
      <c r="G13" s="12" t="n">
        <f aca="false">IFERROR(Dados!G20/Dados!G13,"")</f>
        <v>0.137931034482759</v>
      </c>
      <c r="H13" s="13" t="n">
        <f aca="false">IFERROR(SUM(Dados!B20:G20)/SUM(Dados!B13:G13),"")</f>
        <v>0.153005464480874</v>
      </c>
    </row>
    <row r="14" customFormat="false" ht="15" hidden="false" customHeight="false" outlineLevel="0" collapsed="false">
      <c r="A14" s="6" t="s">
        <v>11</v>
      </c>
      <c r="B14" s="12" t="n">
        <f aca="false">IFERROR(Dados!B21/Dados!B14,"")</f>
        <v>0</v>
      </c>
      <c r="C14" s="12" t="str">
        <f aca="false">IFERROR(Dados!C21/Dados!C14,"")</f>
        <v/>
      </c>
      <c r="D14" s="12" t="str">
        <f aca="false">IFERROR(Dados!D21/Dados!D14,"")</f>
        <v/>
      </c>
      <c r="E14" s="12" t="n">
        <f aca="false">IFERROR(Dados!E21/Dados!E14,"")</f>
        <v>0</v>
      </c>
      <c r="F14" s="12" t="n">
        <f aca="false">IFERROR(Dados!F21/Dados!F14,"")</f>
        <v>0</v>
      </c>
      <c r="G14" s="12" t="n">
        <f aca="false">IFERROR(Dados!G21/Dados!G14,"")</f>
        <v>0</v>
      </c>
      <c r="H14" s="13" t="n">
        <f aca="false">IFERROR(SUM(Dados!B21:G21)/SUM(Dados!B14:G14),"")</f>
        <v>0.025</v>
      </c>
    </row>
    <row r="15" customFormat="false" ht="15" hidden="false" customHeight="false" outlineLevel="0" collapsed="false">
      <c r="A15" s="14" t="s">
        <v>18</v>
      </c>
      <c r="B15" s="15" t="n">
        <f aca="false">IFERROR(Dados!B22/Dados!B15,"")</f>
        <v>0.2</v>
      </c>
      <c r="C15" s="15" t="n">
        <f aca="false">IFERROR(Dados!C22/Dados!C15,"")</f>
        <v>0.272727272727273</v>
      </c>
      <c r="D15" s="15" t="n">
        <f aca="false">IFERROR(Dados!D22/Dados!D15,"")</f>
        <v>0.142857142857143</v>
      </c>
      <c r="E15" s="15" t="n">
        <f aca="false">IFERROR(Dados!E22/Dados!E15,"")</f>
        <v>0.09375</v>
      </c>
      <c r="F15" s="15" t="n">
        <f aca="false">IFERROR(Dados!F22/Dados!F15,"")</f>
        <v>0.176470588235294</v>
      </c>
      <c r="G15" s="15" t="n">
        <f aca="false">IFERROR(Dados!G22/Dados!G15,"")</f>
        <v>0.0833333333333333</v>
      </c>
      <c r="H15" s="15" t="n">
        <f aca="false">IFERROR(SUM(Dados!B22:G22)/SUM(Dados!B15:G15),"")</f>
        <v>0.150470219435737</v>
      </c>
    </row>
    <row r="17" customFormat="false" ht="15" hidden="false" customHeight="false" outlineLevel="0" collapsed="false">
      <c r="A17" s="10" t="s">
        <v>20</v>
      </c>
      <c r="B17" s="11"/>
      <c r="C17" s="11"/>
      <c r="D17" s="11"/>
      <c r="E17" s="11"/>
      <c r="F17" s="11"/>
      <c r="G17" s="11"/>
      <c r="H17" s="11"/>
    </row>
    <row r="18" customFormat="false" ht="15" hidden="false" customHeight="false" outlineLevel="0" collapsed="false">
      <c r="A18" s="4" t="s">
        <v>2</v>
      </c>
      <c r="B18" s="5" t="s">
        <v>3</v>
      </c>
      <c r="C18" s="5" t="s">
        <v>4</v>
      </c>
      <c r="D18" s="5" t="s">
        <v>5</v>
      </c>
      <c r="E18" s="5" t="s">
        <v>6</v>
      </c>
      <c r="F18" s="5" t="s">
        <v>7</v>
      </c>
      <c r="G18" s="5" t="s">
        <v>8</v>
      </c>
      <c r="H18" s="5" t="s">
        <v>17</v>
      </c>
    </row>
    <row r="19" customFormat="false" ht="15" hidden="false" customHeight="false" outlineLevel="0" collapsed="false">
      <c r="A19" s="6" t="s">
        <v>9</v>
      </c>
      <c r="B19" s="12" t="n">
        <f aca="false">IFERROR(Dados!B19/Dados!B5,"")</f>
        <v>0.157894736842105</v>
      </c>
      <c r="C19" s="12" t="n">
        <f aca="false">IFERROR(Dados!C19/Dados!C5,"")</f>
        <v>0.16</v>
      </c>
      <c r="D19" s="12" t="n">
        <f aca="false">IFERROR(Dados!D19/Dados!D5,"")</f>
        <v>0.2</v>
      </c>
      <c r="E19" s="12" t="n">
        <f aca="false">IFERROR(Dados!E19/Dados!E5,"")</f>
        <v>0.05</v>
      </c>
      <c r="F19" s="12" t="n">
        <f aca="false">IFERROR(Dados!F19/Dados!F5,"")</f>
        <v>0.130434782608696</v>
      </c>
      <c r="G19" s="12" t="n">
        <f aca="false">IFERROR(Dados!G19/Dados!G5,"")</f>
        <v>0.0303030303030303</v>
      </c>
      <c r="H19" s="13" t="n">
        <f aca="false">IFERROR(SUM(Dados!B19:G19)/SUM(Dados!B5:G5),"")</f>
        <v>0.111764705882353</v>
      </c>
    </row>
    <row r="20" customFormat="false" ht="15" hidden="false" customHeight="false" outlineLevel="0" collapsed="false">
      <c r="A20" s="6" t="s">
        <v>10</v>
      </c>
      <c r="B20" s="12" t="n">
        <f aca="false">IFERROR(Dados!B20/Dados!B6,"")</f>
        <v>0.115384615384615</v>
      </c>
      <c r="C20" s="12" t="n">
        <f aca="false">IFERROR(Dados!C20/Dados!C6,"")</f>
        <v>0.155555555555556</v>
      </c>
      <c r="D20" s="12" t="n">
        <f aca="false">IFERROR(Dados!D20/Dados!D6,"")</f>
        <v>0.0655737704918033</v>
      </c>
      <c r="E20" s="12" t="n">
        <f aca="false">IFERROR(Dados!E20/Dados!E6,"")</f>
        <v>0.0727272727272727</v>
      </c>
      <c r="F20" s="12" t="n">
        <f aca="false">IFERROR(Dados!F20/Dados!F6,"")</f>
        <v>0.2</v>
      </c>
      <c r="G20" s="12" t="n">
        <f aca="false">IFERROR(Dados!G20/Dados!G6,"")</f>
        <v>0.133333333333333</v>
      </c>
      <c r="H20" s="13" t="n">
        <f aca="false">IFERROR(SUM(Dados!B20:G20)/SUM(Dados!B6:G6),"")</f>
        <v>0.11336032388664</v>
      </c>
    </row>
    <row r="21" customFormat="false" ht="15" hidden="false" customHeight="false" outlineLevel="0" collapsed="false">
      <c r="A21" s="6" t="s">
        <v>11</v>
      </c>
      <c r="B21" s="12" t="n">
        <f aca="false">IFERROR(Dados!B21/Dados!B7,"")</f>
        <v>0</v>
      </c>
      <c r="C21" s="12" t="n">
        <f aca="false">IFERROR(Dados!C21/Dados!C7,"")</f>
        <v>0.333333333333333</v>
      </c>
      <c r="D21" s="12" t="str">
        <f aca="false">IFERROR(Dados!D21/Dados!D7,"")</f>
        <v/>
      </c>
      <c r="E21" s="12" t="n">
        <f aca="false">IFERROR(Dados!E21/Dados!E7,"")</f>
        <v>0</v>
      </c>
      <c r="F21" s="12" t="n">
        <f aca="false">IFERROR(Dados!F21/Dados!F7,"")</f>
        <v>0</v>
      </c>
      <c r="G21" s="12" t="n">
        <f aca="false">IFERROR(Dados!G21/Dados!G7,"")</f>
        <v>0</v>
      </c>
      <c r="H21" s="13" t="n">
        <f aca="false">IFERROR(SUM(Dados!B21:G21)/SUM(Dados!B7:G7),"")</f>
        <v>0.0114942528735632</v>
      </c>
    </row>
    <row r="22" customFormat="false" ht="15" hidden="false" customHeight="false" outlineLevel="0" collapsed="false">
      <c r="A22" s="14" t="s">
        <v>18</v>
      </c>
      <c r="B22" s="15" t="n">
        <f aca="false">IFERROR(Dados!B22/Dados!B8,"")</f>
        <v>0.12</v>
      </c>
      <c r="C22" s="15" t="n">
        <f aca="false">IFERROR(Dados!C22/Dados!C8,"")</f>
        <v>0.164383561643836</v>
      </c>
      <c r="D22" s="15" t="n">
        <f aca="false">IFERROR(Dados!D22/Dados!D8,"")</f>
        <v>0.10989010989011</v>
      </c>
      <c r="E22" s="15" t="n">
        <f aca="false">IFERROR(Dados!E22/Dados!E8,"")</f>
        <v>0.0483870967741936</v>
      </c>
      <c r="F22" s="15" t="n">
        <f aca="false">IFERROR(Dados!F22/Dados!F8,"")</f>
        <v>0.108433734939759</v>
      </c>
      <c r="G22" s="15" t="n">
        <f aca="false">IFERROR(Dados!G22/Dados!G8,"")</f>
        <v>0.0602409638554217</v>
      </c>
      <c r="H22" s="15" t="n">
        <f aca="false">IFERROR(SUM(Dados!B22:G22)/SUM(Dados!B8:G8),"")</f>
        <v>0.0952380952380952</v>
      </c>
    </row>
    <row r="25" customFormat="false" ht="15" hidden="false" customHeight="false" outlineLevel="0" collapsed="false">
      <c r="A25" s="10" t="s">
        <v>21</v>
      </c>
      <c r="B25" s="11"/>
      <c r="C25" s="11"/>
      <c r="D25" s="11"/>
      <c r="E25" s="11"/>
      <c r="F25" s="11"/>
      <c r="G25" s="11"/>
      <c r="H25" s="11"/>
    </row>
    <row r="26" customFormat="false" ht="15" hidden="false" customHeight="false" outlineLevel="0" collapsed="false">
      <c r="A26" s="4" t="s">
        <v>22</v>
      </c>
      <c r="B26" s="5" t="s">
        <v>3</v>
      </c>
      <c r="C26" s="5" t="s">
        <v>4</v>
      </c>
      <c r="D26" s="5" t="s">
        <v>5</v>
      </c>
      <c r="E26" s="5" t="s">
        <v>6</v>
      </c>
      <c r="F26" s="5" t="s">
        <v>7</v>
      </c>
      <c r="G26" s="5" t="s">
        <v>8</v>
      </c>
    </row>
    <row r="27" customFormat="false" ht="15" hidden="false" customHeight="false" outlineLevel="0" collapsed="false">
      <c r="A27" s="6" t="s">
        <v>23</v>
      </c>
      <c r="B27" s="12" t="n">
        <f aca="false">B22</f>
        <v>0.12</v>
      </c>
      <c r="C27" s="12" t="n">
        <f aca="false">C22</f>
        <v>0.164383561643836</v>
      </c>
      <c r="D27" s="12" t="n">
        <f aca="false">D22</f>
        <v>0.10989010989011</v>
      </c>
      <c r="E27" s="12" t="n">
        <f aca="false">E22</f>
        <v>0.0483870967741936</v>
      </c>
      <c r="F27" s="12" t="n">
        <f aca="false">F22</f>
        <v>0.108433734939759</v>
      </c>
      <c r="G27" s="12" t="n">
        <f aca="false">G22</f>
        <v>0.0602409638554217</v>
      </c>
    </row>
    <row r="28" customFormat="false" ht="15" hidden="false" customHeight="false" outlineLevel="0" collapsed="false">
      <c r="A28" s="6" t="s">
        <v>24</v>
      </c>
      <c r="B28" s="16"/>
      <c r="C28" s="12" t="n">
        <f aca="false">IFERROR((C27-B27),"")</f>
        <v>0.0443835616438356</v>
      </c>
      <c r="D28" s="12" t="n">
        <f aca="false">IFERROR((D27-C27),"")</f>
        <v>-0.0544934517537257</v>
      </c>
      <c r="E28" s="12" t="n">
        <f aca="false">IFERROR((E27-D27),"")</f>
        <v>-0.0615030131159163</v>
      </c>
      <c r="F28" s="12" t="n">
        <f aca="false">IFERROR((F27-E27),"")</f>
        <v>0.0600466381655655</v>
      </c>
      <c r="G28" s="12" t="n">
        <f aca="false">IFERROR((G27-F27),"")</f>
        <v>-0.0481927710843374</v>
      </c>
    </row>
    <row r="29" customFormat="false" ht="15" hidden="false" customHeight="false" outlineLevel="0" collapsed="false">
      <c r="A29" s="6" t="s">
        <v>25</v>
      </c>
      <c r="B29" s="16" t="s">
        <v>26</v>
      </c>
      <c r="C29" s="16" t="str">
        <f aca="false">IF(C28="","—",IF(C28&gt;=0,"Evolução","Involução"))</f>
        <v>Evolução</v>
      </c>
      <c r="D29" s="16" t="str">
        <f aca="false">IF(D28="","—",IF(D28&gt;=0,"Evolução","Involução"))</f>
        <v>Involução</v>
      </c>
      <c r="E29" s="16" t="str">
        <f aca="false">IF(E28="","—",IF(E28&gt;=0,"Evolução","Involução"))</f>
        <v>Involução</v>
      </c>
      <c r="F29" s="16" t="str">
        <f aca="false">IF(F28="","—",IF(F28&gt;=0,"Evolução","Involução"))</f>
        <v>Evolução</v>
      </c>
      <c r="G29" s="16" t="str">
        <f aca="false">IF(G28="","—",IF(G28&gt;=0,"Evolução","Involução"))</f>
        <v>Involução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2026-07-13T20:56:31Z</dcterms:created>
  <dc:creator>openpyxl</dc:creator>
  <dc:description/>
  <dc:language>en-US</dc:language>
  <cp:lastModifiedBy/>
  <dcterms:modified xsi:type="dcterms:W3CDTF">2026-07-13T20:56:57Z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